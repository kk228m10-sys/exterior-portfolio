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 Dune" sheetId="1" state="visible" r:id="rId1"/>
    <sheet xmlns:r="http://schemas.openxmlformats.org/officeDocument/2006/relationships" name="Sosny Barnhouse" sheetId="2" state="visible" r:id="rId2"/>
    <sheet xmlns:r="http://schemas.openxmlformats.org/officeDocument/2006/relationships" name="Barvikha Residence" sheetId="3" state="visible" r:id="rId3"/>
    <sheet xmlns:r="http://schemas.openxmlformats.org/officeDocument/2006/relationships" name="KILN Café" sheetId="4" state="visible" r:id="rId4"/>
    <sheet xmlns:r="http://schemas.openxmlformats.org/officeDocument/2006/relationships" name="Tsuki Pavil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1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58" customWidth="1" min="1" max="1"/>
    <col width="40" customWidth="1" min="2" max="2"/>
    <col width="30" customWidth="1" min="3" max="3"/>
    <col width="16" customWidth="1" min="4" max="4"/>
    <col width="16" customWidth="1" min="5" max="5"/>
  </cols>
  <sheetData>
    <row r="1">
      <c r="A1" s="1" t="inlineStr">
        <is>
          <t>Вилла Dune</t>
        </is>
      </c>
      <c r="B1" s="2" t="inlineStr">
        <is>
          <t>Современный минимализм</t>
        </is>
      </c>
      <c r="C1" s="2" t="inlineStr">
        <is>
          <t>Dubai Hills, Дубай, ОАЭ</t>
        </is>
      </c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Ведомость отделки фасадов</t>
        </is>
      </c>
      <c r="B3" s="2" t="n"/>
      <c r="C3" s="2" t="n"/>
      <c r="D3" s="2" t="n"/>
      <c r="E3" s="2" t="n"/>
    </row>
    <row r="4">
      <c r="A4" s="4" t="inlineStr">
        <is>
          <t>Материал</t>
        </is>
      </c>
      <c r="B4" s="4" t="inlineStr">
        <is>
          <t>Система</t>
        </is>
      </c>
      <c r="C4" s="4" t="inlineStr">
        <is>
          <t>Цвет / отделка</t>
        </is>
      </c>
      <c r="D4" s="4" t="inlineStr">
        <is>
          <t>Объём</t>
        </is>
      </c>
      <c r="E4" s="2" t="n"/>
    </row>
    <row r="5">
      <c r="A5" s="2" t="inlineStr">
        <is>
          <t>Травертин римский, 900×600×30, лощёный</t>
        </is>
      </c>
      <c r="B5" s="2" t="inlineStr">
        <is>
          <t>навесной вентфасад, швы 6 мм</t>
        </is>
      </c>
      <c r="C5" s="2" t="inlineStr">
        <is>
          <t>бежевый, NCS S 1010-Y20R</t>
        </is>
      </c>
      <c r="D5" s="2" t="inlineStr">
        <is>
          <t>380 м²</t>
        </is>
      </c>
      <c r="E5" s="2" t="n"/>
    </row>
    <row r="6">
      <c r="A6" s="2" t="inlineStr">
        <is>
          <t>Фасадная штукатурка + эластомерная краска</t>
        </is>
      </c>
      <c r="B6" s="2" t="inlineStr">
        <is>
          <t>армированная система по газобетону</t>
        </is>
      </c>
      <c r="C6" s="2" t="inlineStr">
        <is>
          <t>белый тёплый, RAL 9010</t>
        </is>
      </c>
      <c r="D6" s="2" t="inlineStr">
        <is>
          <t>349 м²</t>
        </is>
      </c>
      <c r="E6" s="2" t="n"/>
    </row>
    <row r="7">
      <c r="A7" s="2" t="inlineStr">
        <is>
          <t>Ламели вертикальные 450×50, h 3,9 м</t>
        </is>
      </c>
      <c r="B7" s="2" t="inlineStr">
        <is>
          <t>поворот 30°, шаг 450</t>
        </is>
      </c>
      <c r="C7" s="2" t="inlineStr">
        <is>
          <t>анодированный алюминий, бронза</t>
        </is>
      </c>
      <c r="D7" s="2" t="inlineStr">
        <is>
          <t>22 шт</t>
        </is>
      </c>
      <c r="E7" s="2" t="n"/>
    </row>
    <row r="8">
      <c r="A8" s="2" t="inlineStr">
        <is>
          <t>Ламели горизонтальные 250×40, L 4,4 м</t>
        </is>
      </c>
      <c r="B8" s="2" t="inlineStr">
        <is>
          <t>шаг 220 мм</t>
        </is>
      </c>
      <c r="C8" s="2" t="inlineStr">
        <is>
          <t>анодированный алюминий, бронза</t>
        </is>
      </c>
      <c r="D8" s="2" t="inlineStr">
        <is>
          <t>30 шт</t>
        </is>
      </c>
      <c r="E8" s="2" t="n"/>
    </row>
    <row r="9">
      <c r="A9" s="2" t="inlineStr">
        <is>
          <t>Раздвижные системы, тонкий профиль</t>
        </is>
      </c>
      <c r="B9" s="2" t="inlineStr">
        <is>
          <t>стеклопакет солнцезащитный g ≈ 0,23</t>
        </is>
      </c>
      <c r="C9" s="2" t="inlineStr">
        <is>
          <t>профиль RAL 8019 (тёмная бронза)</t>
        </is>
      </c>
      <c r="D9" s="2" t="inlineStr">
        <is>
          <t>243 м²</t>
        </is>
      </c>
      <c r="E9" s="2" t="n"/>
    </row>
    <row r="10">
      <c r="A10" s="2" t="inlineStr">
        <is>
          <t>Софит консоли — термоясень</t>
        </is>
      </c>
      <c r="B10" s="2" t="inlineStr">
        <is>
          <t>рейка 90×20, скрытый крепёж</t>
        </is>
      </c>
      <c r="C10" s="2" t="inlineStr">
        <is>
          <t>натуральный, масло с УФ-фильтром</t>
        </is>
      </c>
      <c r="D10" s="2" t="inlineStr">
        <is>
          <t>26 м²</t>
        </is>
      </c>
      <c r="E10" s="2" t="n"/>
    </row>
    <row r="11">
      <c r="A11" s="2" t="inlineStr">
        <is>
          <t>Керамогранит террасы 1200×600×20</t>
        </is>
      </c>
      <c r="B11" s="2" t="inlineStr">
        <is>
          <t>на опорах, R11 противоскольжение</t>
        </is>
      </c>
      <c r="C11" s="2" t="inlineStr">
        <is>
          <t>светлый песочный</t>
        </is>
      </c>
      <c r="D11" s="2" t="inlineStr">
        <is>
          <t>614 м²</t>
        </is>
      </c>
      <c r="E11" s="2" t="n"/>
    </row>
    <row r="12">
      <c r="A12" s="2" t="inlineStr">
        <is>
          <t>Мозаика чаши бассейна 25×25</t>
        </is>
      </c>
      <c r="B12" s="2" t="inlineStr">
        <is>
          <t>стеклянная</t>
        </is>
      </c>
      <c r="C12" s="2" t="inlineStr">
        <is>
          <t>аква, два тона</t>
        </is>
      </c>
      <c r="D12" s="2" t="inlineStr">
        <is>
          <t>170 м²</t>
        </is>
      </c>
      <c r="E12" s="2" t="n"/>
    </row>
    <row r="13">
      <c r="A13" s="2" t="n"/>
      <c r="B13" s="2" t="n"/>
      <c r="C13" s="2" t="n"/>
      <c r="D13" s="2" t="n"/>
      <c r="E13" s="2" t="n"/>
    </row>
    <row r="14">
      <c r="A14" s="3" t="inlineStr">
        <is>
          <t>Смета фасадов и благоустройства, AED</t>
        </is>
      </c>
      <c r="B14" s="2" t="n"/>
      <c r="C14" s="2" t="n"/>
      <c r="D14" s="2" t="n"/>
      <c r="E14" s="2" t="n"/>
    </row>
    <row r="15">
      <c r="A15" s="4" t="inlineStr">
        <is>
          <t>Позиция</t>
        </is>
      </c>
      <c r="B15" s="4" t="inlineStr">
        <is>
          <t>Кол-во</t>
        </is>
      </c>
      <c r="C15" s="4" t="inlineStr">
        <is>
          <t>Ед.</t>
        </is>
      </c>
      <c r="D15" s="4" t="inlineStr">
        <is>
          <t>Ставка</t>
        </is>
      </c>
      <c r="E15" s="4" t="inlineStr">
        <is>
          <t>Сумма</t>
        </is>
      </c>
    </row>
    <row r="16">
      <c r="A16" s="2" t="inlineStr">
        <is>
          <t>Облицовка травертином 30 мм на подсистеме</t>
        </is>
      </c>
      <c r="B16" s="2" t="n">
        <v>379.62</v>
      </c>
      <c r="C16" s="2" t="inlineStr">
        <is>
          <t>м²</t>
        </is>
      </c>
      <c r="D16" s="5" t="n">
        <v>620</v>
      </c>
      <c r="E16" s="5">
        <f>B16*D16</f>
        <v/>
      </c>
    </row>
    <row r="17">
      <c r="A17" s="2" t="inlineStr">
        <is>
          <t>Штукатурный фасад, эластомерная краска</t>
        </is>
      </c>
      <c r="B17" s="2" t="n">
        <v>349.32</v>
      </c>
      <c r="C17" s="2" t="inlineStr">
        <is>
          <t>м²</t>
        </is>
      </c>
      <c r="D17" s="5" t="n">
        <v>145</v>
      </c>
      <c r="E17" s="5">
        <f>B17*D17</f>
        <v/>
      </c>
    </row>
    <row r="18">
      <c r="A18" s="2" t="inlineStr">
        <is>
          <t>Алюминиевые раздвижные системы, стеклопакет g = 0,23</t>
        </is>
      </c>
      <c r="B18" s="2" t="n">
        <v>243.34</v>
      </c>
      <c r="C18" s="2" t="inlineStr">
        <is>
          <t>м²</t>
        </is>
      </c>
      <c r="D18" s="5" t="n">
        <v>1450</v>
      </c>
      <c r="E18" s="5">
        <f>B18*D18</f>
        <v/>
      </c>
    </row>
    <row r="19">
      <c r="A19" s="2" t="inlineStr">
        <is>
          <t>Бронзовые ламели (анодированный алюминий)</t>
        </is>
      </c>
      <c r="B19" s="2" t="n">
        <v>52</v>
      </c>
      <c r="C19" s="2" t="inlineStr">
        <is>
          <t>шт</t>
        </is>
      </c>
      <c r="D19" s="5" t="n">
        <v>380</v>
      </c>
      <c r="E19" s="5">
        <f>B19*D19</f>
        <v/>
      </c>
    </row>
    <row r="20">
      <c r="A20" s="2" t="inlineStr">
        <is>
          <t>Софит из термоясеня</t>
        </is>
      </c>
      <c r="B20" s="2" t="n">
        <v>74</v>
      </c>
      <c r="C20" s="2" t="inlineStr">
        <is>
          <t>м²</t>
        </is>
      </c>
      <c r="D20" s="5" t="n">
        <v>520</v>
      </c>
      <c r="E20" s="5">
        <f>B20*D20</f>
        <v/>
      </c>
    </row>
    <row r="21">
      <c r="A21" s="2" t="inlineStr">
        <is>
          <t>Терраса: керамогранит 1200×600, R11</t>
        </is>
      </c>
      <c r="B21" s="2" t="n">
        <v>614.04</v>
      </c>
      <c r="C21" s="2" t="inlineStr">
        <is>
          <t>м²</t>
        </is>
      </c>
      <c r="D21" s="5" t="n">
        <v>260</v>
      </c>
      <c r="E21" s="5">
        <f>B21*D21</f>
        <v/>
      </c>
    </row>
    <row r="22">
      <c r="A22" s="2" t="inlineStr">
        <is>
          <t>Бассейн-инфинити с оборудованием</t>
        </is>
      </c>
      <c r="B22" s="2" t="n">
        <v>1</v>
      </c>
      <c r="C22" s="2" t="inlineStr">
        <is>
          <t>компл.</t>
        </is>
      </c>
      <c r="D22" s="5" t="n">
        <v>285000</v>
      </c>
      <c r="E22" s="5">
        <f>B22*D22</f>
        <v/>
      </c>
    </row>
    <row r="23">
      <c r="A23" s="2" t="inlineStr">
        <is>
          <t>Ландшафт: газон, пальмы, кустарники, автополив</t>
        </is>
      </c>
      <c r="B23" s="2" t="n">
        <v>1</v>
      </c>
      <c r="C23" s="2" t="inlineStr">
        <is>
          <t>компл.</t>
        </is>
      </c>
      <c r="D23" s="5" t="n">
        <v>165000</v>
      </c>
      <c r="E23" s="5">
        <f>B23*D23</f>
        <v/>
      </c>
    </row>
    <row r="24">
      <c r="A24" s="2" t="inlineStr">
        <is>
          <t>Наружное освещение</t>
        </is>
      </c>
      <c r="B24" s="2" t="n">
        <v>1</v>
      </c>
      <c r="C24" s="2" t="inlineStr">
        <is>
          <t>компл.</t>
        </is>
      </c>
      <c r="D24" s="5" t="n">
        <v>72000</v>
      </c>
      <c r="E24" s="5">
        <f>B24*D24</f>
        <v/>
      </c>
    </row>
    <row r="25">
      <c r="A25" s="2" t="inlineStr">
        <is>
          <t>Ограждение, ворота, мощение двора</t>
        </is>
      </c>
      <c r="B25" s="2" t="n">
        <v>1</v>
      </c>
      <c r="C25" s="2" t="inlineStr">
        <is>
          <t>компл.</t>
        </is>
      </c>
      <c r="D25" s="5" t="n">
        <v>118000</v>
      </c>
      <c r="E25" s="5">
        <f>B25*D25</f>
        <v/>
      </c>
    </row>
    <row r="26">
      <c r="A26" s="3" t="inlineStr">
        <is>
          <t>Итого</t>
        </is>
      </c>
      <c r="B26" s="2" t="n"/>
      <c r="C26" s="2" t="n"/>
      <c r="D26" s="2" t="n"/>
      <c r="E26" s="6">
        <f>SUM(E16:E25)</f>
        <v/>
      </c>
    </row>
    <row r="27">
      <c r="A27" s="2" t="inlineStr">
        <is>
          <t>Ориентировочно, для сравнения вариантов: ставки условные (10.2026), без НДС 5 % и без конструктива здания.</t>
        </is>
      </c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7" t="inlineStr">
        <is>
          <t>Расчёты</t>
        </is>
      </c>
      <c r="B29" s="2" t="n"/>
      <c r="C29" s="2" t="n"/>
      <c r="D29" s="2" t="n"/>
      <c r="E29" s="2" t="n"/>
    </row>
    <row r="30">
      <c r="A30" s="3" t="inlineStr">
        <is>
          <t>1. Солнцезащита западного фасада: подбор угла бронзовых ламелей</t>
        </is>
      </c>
      <c r="B30" s="2" t="n"/>
      <c r="C30" s="2" t="n"/>
      <c r="D30" s="2" t="n"/>
      <c r="E30" s="2" t="n"/>
    </row>
    <row r="31">
      <c r="A31" s="2" t="inlineStr">
        <is>
          <t>Модель ясного неба ASHRAE (1972), положение солнца по местному солнечному времени, шаг 15 мин, 7 расчётных дней (середина апреля — середина октября).</t>
        </is>
      </c>
      <c r="B31" s="2" t="n"/>
      <c r="C31" s="2" t="n"/>
      <c r="D31" s="2" t="n"/>
      <c r="E31" s="2" t="n"/>
    </row>
    <row r="32">
      <c r="A32" s="2" t="inlineStr">
        <is>
          <t>Широта участка</t>
        </is>
      </c>
      <c r="B32" s="2" t="inlineStr">
        <is>
          <t>Dubai Hills</t>
        </is>
      </c>
      <c r="C32" s="2" t="inlineStr">
        <is>
          <t>25,2</t>
        </is>
      </c>
      <c r="D32" s="2" t="inlineStr">
        <is>
          <t>° с. ш.</t>
        </is>
      </c>
      <c r="E32" s="2" t="n"/>
    </row>
    <row r="33">
      <c r="A33" s="2" t="inlineStr">
        <is>
          <t>Ориентация фасада</t>
        </is>
      </c>
      <c r="B33" s="2" t="inlineStr">
        <is>
          <t>азимут нормали</t>
        </is>
      </c>
      <c r="C33" s="2" t="inlineStr">
        <is>
          <t>270</t>
        </is>
      </c>
      <c r="D33" s="2" t="inlineStr">
        <is>
          <t>°</t>
        </is>
      </c>
      <c r="E33" s="2" t="n"/>
    </row>
    <row r="34">
      <c r="A34" s="2" t="inlineStr">
        <is>
          <t>Ламели: глубина D × шаг S × толщина</t>
        </is>
      </c>
      <c r="B34" s="2" t="inlineStr"/>
      <c r="C34" s="2" t="inlineStr">
        <is>
          <t>450 × 450 × 50</t>
        </is>
      </c>
      <c r="D34" s="2" t="inlineStr">
        <is>
          <t>мм</t>
        </is>
      </c>
      <c r="E34" s="2" t="n"/>
    </row>
    <row r="35">
      <c r="A35" s="2" t="inlineStr">
        <is>
          <t>Тень на стекле</t>
        </is>
      </c>
      <c r="B35" s="2" t="inlineStr">
        <is>
          <t>L = D·|sin(β − γ)| / cos γ;  доля = min(1, L/S)</t>
        </is>
      </c>
      <c r="C35" s="2" t="inlineStr">
        <is>
          <t>—</t>
        </is>
      </c>
      <c r="D35" s="2" t="inlineStr"/>
      <c r="E35" s="2" t="n"/>
    </row>
    <row r="36">
      <c r="A36" s="2" t="inlineStr">
        <is>
          <t>Ограничение обзора</t>
        </is>
      </c>
      <c r="B36" s="2" t="inlineStr">
        <is>
          <t>1 − D·|sin β| / S ≥ 0,50</t>
        </is>
      </c>
      <c r="C36" s="2" t="inlineStr">
        <is>
          <t>0,50</t>
        </is>
      </c>
      <c r="D36" s="2" t="inlineStr"/>
      <c r="E36" s="2" t="n"/>
    </row>
    <row r="37">
      <c r="A37" s="2" t="inlineStr">
        <is>
          <t>Оптимальный поворот ламелей β</t>
        </is>
      </c>
      <c r="B37" s="2" t="inlineStr">
        <is>
          <t>к северу от нормали фасада</t>
        </is>
      </c>
      <c r="C37" s="2" t="inlineStr">
        <is>
          <t>30</t>
        </is>
      </c>
      <c r="D37" s="2" t="inlineStr">
        <is>
          <t>°</t>
        </is>
      </c>
      <c r="E37" s="2" t="n"/>
    </row>
    <row r="38">
      <c r="A38" s="2" t="inlineStr">
        <is>
          <t>Отсекается прямой радиации, апр–окт</t>
        </is>
      </c>
      <c r="B38" s="2" t="inlineStr">
        <is>
          <t>Σ I·доля тени / Σ I</t>
        </is>
      </c>
      <c r="C38" s="2" t="inlineStr">
        <is>
          <t>58,9</t>
        </is>
      </c>
      <c r="D38" s="2" t="inlineStr">
        <is>
          <t>%</t>
        </is>
      </c>
      <c r="E38" s="2" t="n"/>
    </row>
    <row r="39">
      <c r="A39" s="2" t="inlineStr">
        <is>
          <t>Количество ламелей</t>
        </is>
      </c>
      <c r="B39" s="2" t="inlineStr">
        <is>
          <t>шаг 450 мм на 10 м остекления</t>
        </is>
      </c>
      <c r="C39" s="2" t="inlineStr">
        <is>
          <t>22</t>
        </is>
      </c>
      <c r="D39" s="2" t="inlineStr">
        <is>
          <t>шт</t>
        </is>
      </c>
      <c r="E39" s="2" t="n"/>
    </row>
    <row r="40">
      <c r="A40" s="2" t="inlineStr">
        <is>
          <t>Площадь западного остекления 2-го этажа</t>
        </is>
      </c>
      <c r="B40" s="2" t="inlineStr">
        <is>
          <t>по модели</t>
        </is>
      </c>
      <c r="C40" s="2" t="inlineStr">
        <is>
          <t>34,0</t>
        </is>
      </c>
      <c r="D40" s="2" t="inlineStr">
        <is>
          <t>м²</t>
        </is>
      </c>
      <c r="E40" s="2" t="n"/>
    </row>
    <row r="41">
      <c r="A41" s="2" t="inlineStr">
        <is>
          <t>Солнечный фактор стекла g</t>
        </is>
      </c>
      <c r="B41" s="2" t="inlineStr">
        <is>
          <t>солнцезащитный стеклопакет</t>
        </is>
      </c>
      <c r="C41" s="2" t="inlineStr">
        <is>
          <t>0,23</t>
        </is>
      </c>
      <c r="D41" s="2" t="inlineStr"/>
      <c r="E41" s="2" t="n"/>
    </row>
    <row r="42">
      <c r="A42" s="2" t="inlineStr">
        <is>
          <t>Теплоприток, снятый ламелями за сезон</t>
        </is>
      </c>
      <c r="B42" s="2" t="inlineStr">
        <is>
          <t>Σ ΔE·A·g</t>
        </is>
      </c>
      <c r="C42" s="2" t="inlineStr">
        <is>
          <t>2 560</t>
        </is>
      </c>
      <c r="D42" s="2" t="inlineStr">
        <is>
          <t>кВт·ч</t>
        </is>
      </c>
      <c r="E42" s="2" t="n"/>
    </row>
    <row r="43">
      <c r="A43" s="2" t="inlineStr">
        <is>
          <t>Экономия электроэнергии на охлаждение</t>
        </is>
      </c>
      <c r="B43" s="2" t="inlineStr">
        <is>
          <t>Q / COP, COP = 3,0</t>
        </is>
      </c>
      <c r="C43" s="2" t="inlineStr">
        <is>
          <t>853</t>
        </is>
      </c>
      <c r="D43" s="2" t="inlineStr">
        <is>
          <t>кВт·ч</t>
        </is>
      </c>
      <c r="E43" s="2" t="n"/>
    </row>
    <row r="44">
      <c r="A44" s="2" t="inlineStr">
        <is>
          <t>Экономия в деньгах</t>
        </is>
      </c>
      <c r="B44" s="2" t="inlineStr">
        <is>
          <t>× 0,44 AED/кВт·ч (принято)</t>
        </is>
      </c>
      <c r="C44" s="2" t="inlineStr">
        <is>
          <t>376</t>
        </is>
      </c>
      <c r="D44" s="2" t="inlineStr">
        <is>
          <t>AED/сезон</t>
        </is>
      </c>
      <c r="E44" s="2" t="n"/>
    </row>
    <row r="45">
      <c r="A45" s="2" t="inlineStr">
        <is>
          <t>Перебор угла (варианты, допустимые по обзору)</t>
        </is>
      </c>
      <c r="B45" s="2" t="n"/>
      <c r="C45" s="2" t="n"/>
      <c r="D45" s="2" t="n"/>
      <c r="E45" s="2" t="n"/>
    </row>
    <row r="46">
      <c r="A46" s="2" t="inlineStr">
        <is>
          <t>β, °</t>
        </is>
      </c>
      <c r="B46" s="2" t="inlineStr">
        <is>
          <t>Обзор, %</t>
        </is>
      </c>
      <c r="C46" s="2" t="inlineStr">
        <is>
          <t>Отсечено солнца, %</t>
        </is>
      </c>
      <c r="D46" s="2" t="n"/>
      <c r="E46" s="2" t="n"/>
    </row>
    <row r="47">
      <c r="A47" s="2" t="inlineStr">
        <is>
          <t>-30</t>
        </is>
      </c>
      <c r="B47" s="2" t="inlineStr">
        <is>
          <t>50</t>
        </is>
      </c>
      <c r="C47" s="2" t="inlineStr">
        <is>
          <t>46,2</t>
        </is>
      </c>
      <c r="D47" s="2" t="n"/>
      <c r="E47" s="2" t="n"/>
    </row>
    <row r="48">
      <c r="A48" s="2" t="inlineStr">
        <is>
          <t>-25</t>
        </is>
      </c>
      <c r="B48" s="2" t="inlineStr">
        <is>
          <t>58</t>
        </is>
      </c>
      <c r="C48" s="2" t="inlineStr">
        <is>
          <t>41,0</t>
        </is>
      </c>
      <c r="D48" s="2" t="n"/>
      <c r="E48" s="2" t="n"/>
    </row>
    <row r="49">
      <c r="A49" s="2" t="inlineStr">
        <is>
          <t>-20</t>
        </is>
      </c>
      <c r="B49" s="2" t="inlineStr">
        <is>
          <t>66</t>
        </is>
      </c>
      <c r="C49" s="2" t="inlineStr">
        <is>
          <t>36,4</t>
        </is>
      </c>
      <c r="D49" s="2" t="n"/>
      <c r="E49" s="2" t="n"/>
    </row>
    <row r="50">
      <c r="A50" s="2" t="inlineStr">
        <is>
          <t>-15</t>
        </is>
      </c>
      <c r="B50" s="2" t="inlineStr">
        <is>
          <t>74</t>
        </is>
      </c>
      <c r="C50" s="2" t="inlineStr">
        <is>
          <t>32,6</t>
        </is>
      </c>
      <c r="D50" s="2" t="n"/>
      <c r="E50" s="2" t="n"/>
    </row>
    <row r="51">
      <c r="A51" s="2" t="inlineStr">
        <is>
          <t>-10</t>
        </is>
      </c>
      <c r="B51" s="2" t="inlineStr">
        <is>
          <t>83</t>
        </is>
      </c>
      <c r="C51" s="2" t="inlineStr">
        <is>
          <t>29,7</t>
        </is>
      </c>
      <c r="D51" s="2" t="n"/>
      <c r="E51" s="2" t="n"/>
    </row>
    <row r="52">
      <c r="A52" s="2" t="inlineStr">
        <is>
          <t>-5</t>
        </is>
      </c>
      <c r="B52" s="2" t="inlineStr">
        <is>
          <t>91</t>
        </is>
      </c>
      <c r="C52" s="2" t="inlineStr">
        <is>
          <t>27,9</t>
        </is>
      </c>
      <c r="D52" s="2" t="n"/>
      <c r="E52" s="2" t="n"/>
    </row>
    <row r="53">
      <c r="A53" s="2" t="inlineStr">
        <is>
          <t>+0</t>
        </is>
      </c>
      <c r="B53" s="2" t="inlineStr">
        <is>
          <t>100</t>
        </is>
      </c>
      <c r="C53" s="2" t="inlineStr">
        <is>
          <t>27,7</t>
        </is>
      </c>
      <c r="D53" s="2" t="n"/>
      <c r="E53" s="2" t="n"/>
    </row>
    <row r="54">
      <c r="A54" s="2" t="inlineStr">
        <is>
          <t>+5</t>
        </is>
      </c>
      <c r="B54" s="2" t="inlineStr">
        <is>
          <t>91</t>
        </is>
      </c>
      <c r="C54" s="2" t="inlineStr">
        <is>
          <t>29,3</t>
        </is>
      </c>
      <c r="D54" s="2" t="n"/>
      <c r="E54" s="2" t="n"/>
    </row>
    <row r="55">
      <c r="A55" s="2" t="inlineStr">
        <is>
          <t>+10</t>
        </is>
      </c>
      <c r="B55" s="2" t="inlineStr">
        <is>
          <t>83</t>
        </is>
      </c>
      <c r="C55" s="2" t="inlineStr">
        <is>
          <t>32,9</t>
        </is>
      </c>
      <c r="D55" s="2" t="n"/>
      <c r="E55" s="2" t="n"/>
    </row>
    <row r="56">
      <c r="A56" s="2" t="inlineStr">
        <is>
          <t>+15</t>
        </is>
      </c>
      <c r="B56" s="2" t="inlineStr">
        <is>
          <t>74</t>
        </is>
      </c>
      <c r="C56" s="2" t="inlineStr">
        <is>
          <t>38,5</t>
        </is>
      </c>
      <c r="D56" s="2" t="n"/>
      <c r="E56" s="2" t="n"/>
    </row>
    <row r="57">
      <c r="A57" s="2" t="inlineStr">
        <is>
          <t>+20</t>
        </is>
      </c>
      <c r="B57" s="2" t="inlineStr">
        <is>
          <t>66</t>
        </is>
      </c>
      <c r="C57" s="2" t="inlineStr">
        <is>
          <t>45,2</t>
        </is>
      </c>
      <c r="D57" s="2" t="n"/>
      <c r="E57" s="2" t="n"/>
    </row>
    <row r="58">
      <c r="A58" s="2" t="inlineStr">
        <is>
          <t>+25</t>
        </is>
      </c>
      <c r="B58" s="2" t="inlineStr">
        <is>
          <t>58</t>
        </is>
      </c>
      <c r="C58" s="2" t="inlineStr">
        <is>
          <t>52,2</t>
        </is>
      </c>
      <c r="D58" s="2" t="n"/>
      <c r="E58" s="2" t="n"/>
    </row>
    <row r="59">
      <c r="A59" s="2" t="inlineStr">
        <is>
          <t>+30</t>
        </is>
      </c>
      <c r="B59" s="2" t="inlineStr">
        <is>
          <t>50</t>
        </is>
      </c>
      <c r="C59" s="2" t="inlineStr">
        <is>
          <t>58,9</t>
        </is>
      </c>
      <c r="D59" s="2" t="n"/>
      <c r="E59" s="2" t="n"/>
    </row>
    <row r="60">
      <c r="A60" s="2" t="inlineStr">
        <is>
          <t>Вывод: Ламели под углом 30° отсекают 59 % прямого солнца при 50 % обзора; те же ламели без поворота (β = 0°) отсекали бы только 28 %.</t>
        </is>
      </c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3" t="inlineStr">
        <is>
          <t>2. Горизонтальные жалюзи южных окон</t>
        </is>
      </c>
      <c r="B62" s="2" t="n"/>
      <c r="C62" s="2" t="n"/>
      <c r="D62" s="2" t="n"/>
      <c r="E62" s="2" t="n"/>
    </row>
    <row r="63">
      <c r="A63" s="2" t="inlineStr">
        <is>
          <t>Профильный угол: tg VSA = tg h / cos γ; доля тени = min(1, d·tg VSA / s).</t>
        </is>
      </c>
      <c r="B63" s="2" t="n"/>
      <c r="C63" s="2" t="n"/>
      <c r="D63" s="2" t="n"/>
      <c r="E63" s="2" t="n"/>
    </row>
    <row r="64">
      <c r="A64" s="2" t="inlineStr">
        <is>
          <t>Глубина ламели d / шаг s</t>
        </is>
      </c>
      <c r="B64" s="2" t="inlineStr"/>
      <c r="C64" s="2" t="inlineStr">
        <is>
          <t>250 / 220</t>
        </is>
      </c>
      <c r="D64" s="2" t="inlineStr">
        <is>
          <t>мм</t>
        </is>
      </c>
      <c r="E64" s="2" t="n"/>
    </row>
    <row r="65">
      <c r="A65" s="2" t="inlineStr">
        <is>
          <t>Количество ламелей</t>
        </is>
      </c>
      <c r="B65" s="2" t="inlineStr">
        <is>
          <t>3 окна × 10 рядов</t>
        </is>
      </c>
      <c r="C65" s="2" t="inlineStr">
        <is>
          <t>30</t>
        </is>
      </c>
      <c r="D65" s="2" t="inlineStr">
        <is>
          <t>шт</t>
        </is>
      </c>
      <c r="E65" s="2" t="n"/>
    </row>
    <row r="66">
      <c r="A66" s="2" t="inlineStr">
        <is>
          <t>Доля затенения стекла</t>
        </is>
      </c>
      <c r="B66" s="2" t="n"/>
      <c r="C66" s="2" t="n"/>
      <c r="D66" s="2" t="n"/>
      <c r="E66" s="2" t="n"/>
    </row>
    <row r="67">
      <c r="A67" s="2" t="inlineStr">
        <is>
          <t>Дата</t>
        </is>
      </c>
      <c r="B67" s="2" t="inlineStr">
        <is>
          <t>09:00</t>
        </is>
      </c>
      <c r="C67" s="2" t="inlineStr">
        <is>
          <t>12:00</t>
        </is>
      </c>
      <c r="D67" s="2" t="inlineStr">
        <is>
          <t>15:00</t>
        </is>
      </c>
      <c r="E67" s="2" t="n"/>
    </row>
    <row r="68">
      <c r="A68" s="2" t="inlineStr">
        <is>
          <t>21 июня</t>
        </is>
      </c>
      <c r="B68" s="2" t="inlineStr">
        <is>
          <t>100 % (h = 49°)</t>
        </is>
      </c>
      <c r="C68" s="2" t="inlineStr">
        <is>
          <t>100 % (h = 88°)</t>
        </is>
      </c>
      <c r="D68" s="2" t="inlineStr">
        <is>
          <t>100 % (h = 49°)</t>
        </is>
      </c>
      <c r="E68" s="2" t="n"/>
    </row>
    <row r="69">
      <c r="A69" s="2" t="inlineStr">
        <is>
          <t>21 сентября</t>
        </is>
      </c>
      <c r="B69" s="2" t="inlineStr">
        <is>
          <t>100 % (h = 40°)</t>
        </is>
      </c>
      <c r="C69" s="2" t="inlineStr">
        <is>
          <t>100 % (h = 65°)</t>
        </is>
      </c>
      <c r="D69" s="2" t="inlineStr">
        <is>
          <t>100 % (h = 40°)</t>
        </is>
      </c>
      <c r="E69" s="2" t="n"/>
    </row>
    <row r="70">
      <c r="A70" s="2" t="inlineStr">
        <is>
          <t>21 декабря</t>
        </is>
      </c>
      <c r="B70" s="2" t="inlineStr">
        <is>
          <t>75 % (h = 25°)</t>
        </is>
      </c>
      <c r="C70" s="2" t="inlineStr">
        <is>
          <t>100 % (h = 41°)</t>
        </is>
      </c>
      <c r="D70" s="2" t="inlineStr">
        <is>
          <t>75 % (h = 25°)</t>
        </is>
      </c>
      <c r="E70" s="2" t="n"/>
    </row>
    <row r="71">
      <c r="A71" s="2" t="inlineStr">
        <is>
          <t>Вывод: Летом и в межсезонье стекло в расчётные часы затенено полностью; низкое зимнее солнце частично проходит, и это полезно: зимой охлаждение не нужно.</t>
        </is>
      </c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3" t="inlineStr">
        <is>
          <t>3. Ведомость площадей фасадов и коэффициент остеклённости (WWR)</t>
        </is>
      </c>
      <c r="B73" s="2" t="n"/>
      <c r="C73" s="2" t="n"/>
      <c r="D73" s="2" t="n"/>
      <c r="E73" s="2" t="n"/>
    </row>
    <row r="74">
      <c r="A74" s="2" t="inlineStr">
        <is>
          <t>Площади по сторонам света, м² (стены — за вычетом проёмов)</t>
        </is>
      </c>
      <c r="B74" s="2" t="n"/>
      <c r="C74" s="2" t="n"/>
      <c r="D74" s="2" t="n"/>
      <c r="E74" s="2" t="n"/>
    </row>
    <row r="75">
      <c r="A75" s="2" t="inlineStr">
        <is>
          <t>Фасад</t>
        </is>
      </c>
      <c r="B75" s="2" t="inlineStr">
        <is>
          <t>Травертин</t>
        </is>
      </c>
      <c r="C75" s="2" t="inlineStr">
        <is>
          <t>Штукатурка</t>
        </is>
      </c>
      <c r="D75" s="2" t="inlineStr">
        <is>
          <t>Остекление</t>
        </is>
      </c>
      <c r="E75" s="2" t="inlineStr">
        <is>
          <t>WWR</t>
        </is>
      </c>
    </row>
    <row r="76">
      <c r="A76" s="2" t="inlineStr">
        <is>
          <t>Север (сад)</t>
        </is>
      </c>
      <c r="B76" s="2" t="inlineStr">
        <is>
          <t>36,0</t>
        </is>
      </c>
      <c r="C76" s="2" t="inlineStr">
        <is>
          <t>112,1</t>
        </is>
      </c>
      <c r="D76" s="2" t="inlineStr">
        <is>
          <t>108,0</t>
        </is>
      </c>
      <c r="E76" s="2" t="inlineStr">
        <is>
          <t>42 %</t>
        </is>
      </c>
    </row>
    <row r="77">
      <c r="A77" s="2" t="inlineStr">
        <is>
          <t>Юг (улица)</t>
        </is>
      </c>
      <c r="B77" s="2" t="inlineStr">
        <is>
          <t>86,3</t>
        </is>
      </c>
      <c r="C77" s="2" t="inlineStr">
        <is>
          <t>98,4</t>
        </is>
      </c>
      <c r="D77" s="2" t="inlineStr">
        <is>
          <t>40,9</t>
        </is>
      </c>
      <c r="E77" s="2" t="inlineStr">
        <is>
          <t>18 %</t>
        </is>
      </c>
    </row>
    <row r="78">
      <c r="A78" s="2" t="inlineStr">
        <is>
          <t>Запад</t>
        </is>
      </c>
      <c r="B78" s="2" t="inlineStr">
        <is>
          <t>21,6</t>
        </is>
      </c>
      <c r="C78" s="2" t="inlineStr">
        <is>
          <t>28,4</t>
        </is>
      </c>
      <c r="D78" s="2" t="inlineStr">
        <is>
          <t>62,8</t>
        </is>
      </c>
      <c r="E78" s="2" t="inlineStr">
        <is>
          <t>56 %</t>
        </is>
      </c>
    </row>
    <row r="79">
      <c r="A79" s="2" t="inlineStr">
        <is>
          <t>Восток</t>
        </is>
      </c>
      <c r="B79" s="2" t="inlineStr">
        <is>
          <t>30,7</t>
        </is>
      </c>
      <c r="C79" s="2" t="inlineStr">
        <is>
          <t>50,4</t>
        </is>
      </c>
      <c r="D79" s="2" t="inlineStr">
        <is>
          <t>31,7</t>
        </is>
      </c>
      <c r="E79" s="2" t="inlineStr">
        <is>
          <t>28 %</t>
        </is>
      </c>
    </row>
    <row r="80">
      <c r="A80" s="2" t="inlineStr">
        <is>
          <t>Итого</t>
        </is>
      </c>
      <c r="B80" s="2" t="inlineStr">
        <is>
          <t>174,7</t>
        </is>
      </c>
      <c r="C80" s="2" t="inlineStr">
        <is>
          <t>289,3</t>
        </is>
      </c>
      <c r="D80" s="2" t="inlineStr">
        <is>
          <t>243,3</t>
        </is>
      </c>
      <c r="E80" s="2" t="inlineStr">
        <is>
          <t>34 %</t>
        </is>
      </c>
    </row>
    <row r="81">
      <c r="A81" s="2" t="inlineStr">
        <is>
          <t>Вывод: Основное остекление обращено на север, к саду, где прямого солнца меньше всего; южные и западные окна закрыты ламелями.</t>
        </is>
      </c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3" t="inlineStr">
        <is>
          <t>4. Облицовка травертином: раскладка, крепёж, нагрузка</t>
        </is>
      </c>
      <c r="B83" s="2" t="n"/>
      <c r="C83" s="2" t="n"/>
      <c r="D83" s="2" t="n"/>
      <c r="E83" s="2" t="n"/>
    </row>
    <row r="84">
      <c r="A84" s="2" t="inlineStr">
        <is>
          <t>Облицовка стен здания и козырька</t>
        </is>
      </c>
      <c r="B84" s="2" t="inlineStr">
        <is>
          <t>по модели, за вычетом проёмов</t>
        </is>
      </c>
      <c r="C84" s="2" t="inlineStr">
        <is>
          <t>218,9</t>
        </is>
      </c>
      <c r="D84" s="2" t="inlineStr">
        <is>
          <t>м²</t>
        </is>
      </c>
      <c r="E84" s="2" t="n"/>
    </row>
    <row r="85">
      <c r="A85" s="2" t="inlineStr">
        <is>
          <t>Ограждение, борт бассейна, подпорные стенки</t>
        </is>
      </c>
      <c r="B85" s="2" t="inlineStr">
        <is>
          <t>по модели</t>
        </is>
      </c>
      <c r="C85" s="2" t="inlineStr">
        <is>
          <t>160,7</t>
        </is>
      </c>
      <c r="D85" s="2" t="inlineStr">
        <is>
          <t>м²</t>
        </is>
      </c>
      <c r="E85" s="2" t="n"/>
    </row>
    <row r="86">
      <c r="A86" s="2" t="inlineStr">
        <is>
          <t>Итого облицовка</t>
        </is>
      </c>
      <c r="B86" s="2" t="inlineStr"/>
      <c r="C86" s="2" t="inlineStr">
        <is>
          <t>379,6</t>
        </is>
      </c>
      <c r="D86" s="2" t="inlineStr">
        <is>
          <t>м²</t>
        </is>
      </c>
      <c r="E86" s="2" t="n"/>
    </row>
    <row r="87">
      <c r="A87" s="2" t="inlineStr">
        <is>
          <t>Плит 900×600 с запасом 8 %</t>
        </is>
      </c>
      <c r="B87" s="2" t="inlineStr">
        <is>
          <t>A / 0,54 × 1,08</t>
        </is>
      </c>
      <c r="C87" s="2" t="inlineStr">
        <is>
          <t>760</t>
        </is>
      </c>
      <c r="D87" s="2" t="inlineStr">
        <is>
          <t>шт</t>
        </is>
      </c>
      <c r="E87" s="2" t="n"/>
    </row>
    <row r="88">
      <c r="A88" s="2" t="inlineStr">
        <is>
          <t>Масса облицовки</t>
        </is>
      </c>
      <c r="B88" s="2" t="inlineStr">
        <is>
          <t>0,03 м × 2 500 кг/м³ = 75 кг/м²</t>
        </is>
      </c>
      <c r="C88" s="2" t="inlineStr">
        <is>
          <t>28,5</t>
        </is>
      </c>
      <c r="D88" s="2" t="inlineStr">
        <is>
          <t>т</t>
        </is>
      </c>
      <c r="E88" s="2" t="n"/>
    </row>
    <row r="89">
      <c r="A89" s="2" t="inlineStr">
        <is>
          <t>Кляммеры (4 на плиту)</t>
        </is>
      </c>
      <c r="B89" s="2" t="inlineStr"/>
      <c r="C89" s="2" t="inlineStr">
        <is>
          <t>3 040</t>
        </is>
      </c>
      <c r="D89" s="2" t="inlineStr">
        <is>
          <t>шт</t>
        </is>
      </c>
      <c r="E89" s="2" t="n"/>
    </row>
    <row r="90">
      <c r="A90" s="2" t="inlineStr">
        <is>
          <t>Кронштейны подсистемы</t>
        </is>
      </c>
      <c r="B90" s="2" t="inlineStr">
        <is>
          <t>≈ 1,6 шт/м²</t>
        </is>
      </c>
      <c r="C90" s="2" t="inlineStr">
        <is>
          <t>608</t>
        </is>
      </c>
      <c r="D90" s="2" t="inlineStr">
        <is>
          <t>шт</t>
        </is>
      </c>
      <c r="E90" s="2" t="n"/>
    </row>
    <row r="91">
      <c r="A91" s="2" t="inlineStr">
        <is>
          <t>Вывод: Нагрузка 75 кг/м² обычна для вентфасада из натурального камня 30 мм; анкеры подбираются по вырывному усилию, которое определяют испытанием в бетоне на объекте.</t>
        </is>
      </c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3" t="inlineStr">
        <is>
          <t>5. Бассейн с переливом «инфинити»</t>
        </is>
      </c>
      <c r="B93" s="2" t="n"/>
      <c r="C93" s="2" t="n"/>
      <c r="D93" s="2" t="n"/>
      <c r="E93" s="2" t="n"/>
    </row>
    <row r="94">
      <c r="A94" s="2" t="inlineStr">
        <is>
          <t>Объём чаши</t>
        </is>
      </c>
      <c r="B94" s="2" t="inlineStr">
        <is>
          <t>L × B × h</t>
        </is>
      </c>
      <c r="C94" s="2" t="inlineStr">
        <is>
          <t>149,5</t>
        </is>
      </c>
      <c r="D94" s="2" t="inlineStr">
        <is>
          <t>м³</t>
        </is>
      </c>
      <c r="E94" s="2" t="n"/>
    </row>
    <row r="95">
      <c r="A95" s="2" t="inlineStr">
        <is>
          <t>Расход циркуляции</t>
        </is>
      </c>
      <c r="B95" s="2" t="inlineStr">
        <is>
          <t>V / 6 ч (полный водообмен за 6 ч)</t>
        </is>
      </c>
      <c r="C95" s="2" t="inlineStr">
        <is>
          <t>24,9</t>
        </is>
      </c>
      <c r="D95" s="2" t="inlineStr">
        <is>
          <t>м³/ч</t>
        </is>
      </c>
      <c r="E95" s="2" t="n"/>
    </row>
    <row r="96">
      <c r="A96" s="2" t="inlineStr">
        <is>
          <t>Требуемая площадь фильтрации</t>
        </is>
      </c>
      <c r="B96" s="2" t="inlineStr">
        <is>
          <t>Q / 30 м/ч</t>
        </is>
      </c>
      <c r="C96" s="2" t="inlineStr">
        <is>
          <t>0,83</t>
        </is>
      </c>
      <c r="D96" s="2" t="inlineStr">
        <is>
          <t>м²</t>
        </is>
      </c>
      <c r="E96" s="2" t="n"/>
    </row>
    <row r="97">
      <c r="A97" s="2" t="inlineStr">
        <is>
          <t>Принято</t>
        </is>
      </c>
      <c r="B97" s="2" t="inlineStr">
        <is>
          <t>2 песчаных фильтра Ø 760 мм (2 × 0,45 м²)</t>
        </is>
      </c>
      <c r="C97" s="2" t="inlineStr">
        <is>
          <t>0,90</t>
        </is>
      </c>
      <c r="D97" s="2" t="inlineStr">
        <is>
          <t>м²</t>
        </is>
      </c>
      <c r="E97" s="2" t="n"/>
    </row>
    <row r="98">
      <c r="A98" s="2" t="inlineStr">
        <is>
          <t>Буферная ёмкость (оценка)</t>
        </is>
      </c>
      <c r="B98" s="2" t="inlineStr">
        <is>
          <t>50 л на 1 м² зеркала + слив трубопроводов 0,5 м³</t>
        </is>
      </c>
      <c r="C98" s="2" t="inlineStr">
        <is>
          <t>5,5</t>
        </is>
      </c>
      <c r="D98" s="2" t="inlineStr">
        <is>
          <t>м³</t>
        </is>
      </c>
      <c r="E98" s="2" t="n"/>
    </row>
    <row r="99">
      <c r="A99" s="2" t="inlineStr">
        <is>
          <t>Подпитка на испарение летом (≈ 8 мм/сут)</t>
        </is>
      </c>
      <c r="B99" s="2" t="inlineStr">
        <is>
          <t>F × 0,008</t>
        </is>
      </c>
      <c r="C99" s="2" t="inlineStr">
        <is>
          <t>0,79</t>
        </is>
      </c>
      <c r="D99" s="2" t="inlineStr">
        <is>
          <t>м³/сут</t>
        </is>
      </c>
      <c r="E99" s="2" t="n"/>
    </row>
    <row r="100">
      <c r="A100" s="2" t="inlineStr">
        <is>
          <t>Вывод: Расчёт задаёт габариты техпомещения и буферной ёмкости; марки насосов и фильтров подтверждает поставщик по паспортным характеристикам.</t>
        </is>
      </c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3" t="inlineStr">
        <is>
          <t>6. Освещённость террасы у бассейна (точечный метод)</t>
        </is>
      </c>
      <c r="B102" s="2" t="n"/>
      <c r="C102" s="2" t="n"/>
      <c r="D102" s="2" t="n"/>
      <c r="E102" s="2" t="n"/>
    </row>
    <row r="103">
      <c r="A103" s="2" t="inlineStr">
        <is>
          <t>E = I(θ)·cos α / d², коэффициент запаса 0,8; кривая силы света — гауссов пучок по углу раскрытия.</t>
        </is>
      </c>
      <c r="B103" s="2" t="n"/>
      <c r="C103" s="2" t="n"/>
      <c r="D103" s="2" t="n"/>
      <c r="E103" s="2" t="n"/>
    </row>
    <row r="104">
      <c r="A104" s="2" t="inlineStr">
        <is>
          <t>Средняя освещённость Eср</t>
        </is>
      </c>
      <c r="B104" s="2" t="inlineStr"/>
      <c r="C104" s="2" t="inlineStr">
        <is>
          <t>72</t>
        </is>
      </c>
      <c r="D104" s="2" t="inlineStr">
        <is>
          <t>лк</t>
        </is>
      </c>
      <c r="E104" s="2" t="n"/>
    </row>
    <row r="105">
      <c r="A105" s="2" t="inlineStr">
        <is>
          <t>Минимальная / максимальная</t>
        </is>
      </c>
      <c r="B105" s="2" t="inlineStr">
        <is>
          <t>Emin / Emax</t>
        </is>
      </c>
      <c r="C105" s="2" t="inlineStr">
        <is>
          <t>45 / 87</t>
        </is>
      </c>
      <c r="D105" s="2" t="inlineStr">
        <is>
          <t>лк</t>
        </is>
      </c>
      <c r="E105" s="2" t="n"/>
    </row>
    <row r="106">
      <c r="A106" s="2" t="inlineStr">
        <is>
          <t>Равномерность U0</t>
        </is>
      </c>
      <c r="B106" s="2" t="inlineStr">
        <is>
          <t>Emin / Eср</t>
        </is>
      </c>
      <c r="C106" s="2" t="inlineStr">
        <is>
          <t>0,63</t>
        </is>
      </c>
      <c r="D106" s="2" t="inlineStr"/>
      <c r="E106" s="2" t="n"/>
    </row>
    <row r="107">
      <c r="A107" s="2" t="inlineStr">
        <is>
          <t>Вывод: Eср = 72 лк при U0 = 0,63. Для ужина на террасе ориентир 30–75 лк; к воде свет мягко спадает, слепящих пятен нет.</t>
        </is>
      </c>
      <c r="B107" s="2" t="n"/>
      <c r="C107" s="2" t="n"/>
      <c r="D107" s="2" t="n"/>
      <c r="E10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58" customWidth="1" min="1" max="1"/>
    <col width="40" customWidth="1" min="2" max="2"/>
    <col width="30" customWidth="1" min="3" max="3"/>
    <col width="16" customWidth="1" min="4" max="4"/>
    <col width="16" customWidth="1" min="5" max="5"/>
  </cols>
  <sheetData>
    <row r="1">
      <c r="A1" s="1" t="inlineStr">
        <is>
          <t>Барнхаус «Сосны»</t>
        </is>
      </c>
      <c r="B1" s="2" t="inlineStr">
        <is>
          <t>Скандинавский барнхаус</t>
        </is>
      </c>
      <c r="C1" s="2" t="inlineStr">
        <is>
          <t>Истринский р-н, Московская обл.</t>
        </is>
      </c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Ведомость отделки фасадов</t>
        </is>
      </c>
      <c r="B3" s="2" t="n"/>
      <c r="C3" s="2" t="n"/>
      <c r="D3" s="2" t="n"/>
      <c r="E3" s="2" t="n"/>
    </row>
    <row r="4">
      <c r="A4" s="4" t="inlineStr">
        <is>
          <t>Материал</t>
        </is>
      </c>
      <c r="B4" s="4" t="inlineStr">
        <is>
          <t>Система</t>
        </is>
      </c>
      <c r="C4" s="4" t="inlineStr">
        <is>
          <t>Цвет / отделка</t>
        </is>
      </c>
      <c r="D4" s="4" t="inlineStr">
        <is>
          <t>Объём</t>
        </is>
      </c>
      <c r="E4" s="2" t="n"/>
    </row>
    <row r="5">
      <c r="A5" s="2" t="inlineStr">
        <is>
          <t>Двойной стоячий фальц, сталь 0,5 мм, полиуретан</t>
        </is>
      </c>
      <c r="B5" s="2" t="inlineStr">
        <is>
          <t>панель 530 мм, скрытый крепёж</t>
        </is>
      </c>
      <c r="C5" s="2" t="inlineStr">
        <is>
          <t>графит, RAL 7024 мат</t>
        </is>
      </c>
      <c r="D5" s="2" t="inlineStr">
        <is>
          <t>175 м² (дом)</t>
        </is>
      </c>
      <c r="E5" s="2" t="n"/>
    </row>
    <row r="6">
      <c r="A6" s="2" t="inlineStr">
        <is>
          <t>Планкен термососна 20×120, скошенный</t>
        </is>
      </c>
      <c r="B6" s="2" t="inlineStr">
        <is>
          <t>вертикально, зазор 6 мм</t>
        </is>
      </c>
      <c r="C6" s="2" t="inlineStr">
        <is>
          <t>натуральный, масло-воск «серый дуб»</t>
        </is>
      </c>
      <c r="D6" s="2" t="inlineStr">
        <is>
          <t>146 м²</t>
        </is>
      </c>
      <c r="E6" s="2" t="n"/>
    </row>
    <row r="7">
      <c r="A7" s="2" t="inlineStr">
        <is>
          <t>Фальц на фасаде (восточный торец)</t>
        </is>
      </c>
      <c r="B7" s="2" t="inlineStr">
        <is>
          <t>та же система, что кровля</t>
        </is>
      </c>
      <c r="C7" s="2" t="inlineStr">
        <is>
          <t>графит, RAL 7024 мат</t>
        </is>
      </c>
      <c r="D7" s="2" t="inlineStr">
        <is>
          <t>37 м²</t>
        </is>
      </c>
      <c r="E7" s="2" t="n"/>
    </row>
    <row r="8">
      <c r="A8" s="2" t="inlineStr">
        <is>
          <t>Алюминиевые окна и подъёмно-сдвижные порталы</t>
        </is>
      </c>
      <c r="B8" s="2" t="inlineStr">
        <is>
          <t>двухкамерный стеклопакет, тёплая рамка</t>
        </is>
      </c>
      <c r="C8" s="2" t="inlineStr">
        <is>
          <t>чёрный, RAL 9005 мат</t>
        </is>
      </c>
      <c r="D8" s="2" t="inlineStr">
        <is>
          <t>85 м²</t>
        </is>
      </c>
      <c r="E8" s="2" t="n"/>
    </row>
    <row r="9">
      <c r="A9" s="2" t="inlineStr">
        <is>
          <t>Фиброцементные панели цоколя</t>
        </is>
      </c>
      <c r="B9" s="2" t="inlineStr">
        <is>
          <t>навесной монтаж</t>
        </is>
      </c>
      <c r="C9" s="2" t="inlineStr">
        <is>
          <t>антрацит</t>
        </is>
      </c>
      <c r="D9" s="2" t="inlineStr">
        <is>
          <t>45 м²</t>
        </is>
      </c>
      <c r="E9" s="2" t="n"/>
    </row>
    <row r="10">
      <c r="A10" s="2" t="inlineStr">
        <is>
          <t>Терраса — лиственница 28×143</t>
        </is>
      </c>
      <c r="B10" s="2" t="inlineStr">
        <is>
          <t>скрытый крепёж, зазор 6 мм</t>
        </is>
      </c>
      <c r="C10" s="2" t="inlineStr">
        <is>
          <t>масло для террас, натуральный</t>
        </is>
      </c>
      <c r="D10" s="2" t="inlineStr">
        <is>
          <t>79 м²</t>
        </is>
      </c>
      <c r="E10" s="2" t="n"/>
    </row>
    <row r="11">
      <c r="A11" s="2" t="inlineStr">
        <is>
          <t>Навес: труба 120×60×4 + триплекс 8.8.2</t>
        </is>
      </c>
      <c r="B11" s="2" t="inlineStr">
        <is>
          <t>рёбра с шагом 400 мм</t>
        </is>
      </c>
      <c r="C11" s="2" t="inlineStr">
        <is>
          <t>чёрный порошковый, RAL 9005</t>
        </is>
      </c>
      <c r="D11" s="2" t="inlineStr">
        <is>
          <t>37 м²</t>
        </is>
      </c>
      <c r="E11" s="2" t="n"/>
    </row>
    <row r="12">
      <c r="A12" s="2" t="n"/>
      <c r="B12" s="2" t="n"/>
      <c r="C12" s="2" t="n"/>
      <c r="D12" s="2" t="n"/>
      <c r="E12" s="2" t="n"/>
    </row>
    <row r="13">
      <c r="A13" s="3" t="inlineStr">
        <is>
          <t>Смета фасадов и благоустройства, ₽</t>
        </is>
      </c>
      <c r="B13" s="2" t="n"/>
      <c r="C13" s="2" t="n"/>
      <c r="D13" s="2" t="n"/>
      <c r="E13" s="2" t="n"/>
    </row>
    <row r="14">
      <c r="A14" s="4" t="inlineStr">
        <is>
          <t>Позиция</t>
        </is>
      </c>
      <c r="B14" s="4" t="inlineStr">
        <is>
          <t>Кол-во</t>
        </is>
      </c>
      <c r="C14" s="4" t="inlineStr">
        <is>
          <t>Ед.</t>
        </is>
      </c>
      <c r="D14" s="4" t="inlineStr">
        <is>
          <t>Ставка</t>
        </is>
      </c>
      <c r="E14" s="4" t="inlineStr">
        <is>
          <t>Сумма</t>
        </is>
      </c>
    </row>
    <row r="15">
      <c r="A15" s="2" t="inlineStr">
        <is>
          <t>Кровля: двойной стоячий фальц, сталь 0,5 мм, монтаж</t>
        </is>
      </c>
      <c r="B15" s="2" t="n">
        <v>231.84</v>
      </c>
      <c r="C15" s="2" t="inlineStr">
        <is>
          <t>м²</t>
        </is>
      </c>
      <c r="D15" s="5" t="n">
        <v>3900</v>
      </c>
      <c r="E15" s="5">
        <f>B15*D15</f>
        <v/>
      </c>
    </row>
    <row r="16">
      <c r="A16" s="2" t="inlineStr">
        <is>
          <t>Фасад: планкен из термососны 20×120 на подсистеме</t>
        </is>
      </c>
      <c r="B16" s="2" t="n">
        <v>145.74</v>
      </c>
      <c r="C16" s="2" t="inlineStr">
        <is>
          <t>м²</t>
        </is>
      </c>
      <c r="D16" s="5" t="n">
        <v>4200</v>
      </c>
      <c r="E16" s="5">
        <f>B16*D16</f>
        <v/>
      </c>
    </row>
    <row r="17">
      <c r="A17" s="2" t="inlineStr">
        <is>
          <t>Фасад: фальц на торце</t>
        </is>
      </c>
      <c r="B17" s="2" t="n">
        <v>37.44</v>
      </c>
      <c r="C17" s="2" t="inlineStr">
        <is>
          <t>м²</t>
        </is>
      </c>
      <c r="D17" s="5" t="n">
        <v>4600</v>
      </c>
      <c r="E17" s="5">
        <f>B17*D17</f>
        <v/>
      </c>
    </row>
    <row r="18">
      <c r="A18" s="2" t="inlineStr">
        <is>
          <t>Скрытые желоба с подогревом, водосточные трубы</t>
        </is>
      </c>
      <c r="B18" s="2" t="n">
        <v>46.4</v>
      </c>
      <c r="C18" s="2" t="inlineStr">
        <is>
          <t>п. м</t>
        </is>
      </c>
      <c r="D18" s="5" t="n">
        <v>6500</v>
      </c>
      <c r="E18" s="5">
        <f>B18*D18</f>
        <v/>
      </c>
    </row>
    <row r="19">
      <c r="A19" s="2" t="inlineStr">
        <is>
          <t>Панорамные алюминиевые окна и порталы, чёрные</t>
        </is>
      </c>
      <c r="B19" s="2" t="n">
        <v>85.08</v>
      </c>
      <c r="C19" s="2" t="inlineStr">
        <is>
          <t>м²</t>
        </is>
      </c>
      <c r="D19" s="5" t="n">
        <v>32000</v>
      </c>
      <c r="E19" s="5">
        <f>B19*D19</f>
        <v/>
      </c>
    </row>
    <row r="20">
      <c r="A20" s="2" t="inlineStr">
        <is>
          <t>Терраса из лиственницы на винтовых сваях</t>
        </is>
      </c>
      <c r="B20" s="2" t="n">
        <v>79.2</v>
      </c>
      <c r="C20" s="2" t="inlineStr">
        <is>
          <t>м²</t>
        </is>
      </c>
      <c r="D20" s="5" t="n">
        <v>7500</v>
      </c>
      <c r="E20" s="5">
        <f>B20*D20</f>
        <v/>
      </c>
    </row>
    <row r="21">
      <c r="A21" s="2" t="inlineStr">
        <is>
          <t>Стальной навес с триплексом</t>
        </is>
      </c>
      <c r="B21" s="2" t="n">
        <v>36.9</v>
      </c>
      <c r="C21" s="2" t="inlineStr">
        <is>
          <t>м²</t>
        </is>
      </c>
      <c r="D21" s="5" t="n">
        <v>38000</v>
      </c>
      <c r="E21" s="5">
        <f>B21*D21</f>
        <v/>
      </c>
    </row>
    <row r="22">
      <c r="A22" s="2" t="inlineStr">
        <is>
          <t>Цоколь: фиброцементные панели</t>
        </is>
      </c>
      <c r="B22" s="2" t="n">
        <v>45.12</v>
      </c>
      <c r="C22" s="2" t="inlineStr">
        <is>
          <t>м²</t>
        </is>
      </c>
      <c r="D22" s="5" t="n">
        <v>2900</v>
      </c>
      <c r="E22" s="5">
        <f>B22*D22</f>
        <v/>
      </c>
    </row>
    <row r="23">
      <c r="A23" s="2" t="inlineStr">
        <is>
          <t>Благоустройство: газон, гравий, костровая зона</t>
        </is>
      </c>
      <c r="B23" s="2" t="n">
        <v>1</v>
      </c>
      <c r="C23" s="2" t="inlineStr">
        <is>
          <t>компл.</t>
        </is>
      </c>
      <c r="D23" s="5" t="n">
        <v>450000</v>
      </c>
      <c r="E23" s="5">
        <f>B23*D23</f>
        <v/>
      </c>
    </row>
    <row r="24">
      <c r="A24" s="2" t="inlineStr">
        <is>
          <t>Наружное освещение и гирлянды</t>
        </is>
      </c>
      <c r="B24" s="2" t="n">
        <v>1</v>
      </c>
      <c r="C24" s="2" t="inlineStr">
        <is>
          <t>компл.</t>
        </is>
      </c>
      <c r="D24" s="5" t="n">
        <v>280000</v>
      </c>
      <c r="E24" s="5">
        <f>B24*D24</f>
        <v/>
      </c>
    </row>
    <row r="25">
      <c r="A25" s="3" t="inlineStr">
        <is>
          <t>Итого</t>
        </is>
      </c>
      <c r="B25" s="2" t="n"/>
      <c r="C25" s="2" t="n"/>
      <c r="D25" s="2" t="n"/>
      <c r="E25" s="6">
        <f>SUM(E15:E24)</f>
        <v/>
      </c>
    </row>
    <row r="26">
      <c r="A26" s="2" t="inlineStr">
        <is>
          <t>Ориентировочно, цены Московского региона на 10.2026; без каркаса, фундамента и инженерных систем.</t>
        </is>
      </c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7" t="inlineStr">
        <is>
          <t>Расчёты</t>
        </is>
      </c>
      <c r="B28" s="2" t="n"/>
      <c r="C28" s="2" t="n"/>
      <c r="D28" s="2" t="n"/>
      <c r="E28" s="2" t="n"/>
    </row>
    <row r="29">
      <c r="A29" s="3" t="inlineStr">
        <is>
          <t>1. Снеговая нагрузка и проверка стропил</t>
        </is>
      </c>
      <c r="B29" s="2" t="n"/>
      <c r="C29" s="2" t="n"/>
      <c r="D29" s="2" t="n"/>
      <c r="E29" s="2" t="n"/>
    </row>
    <row r="30">
      <c r="A30" s="2" t="inlineStr">
        <is>
          <t>СП 20.13330.2016 «Нагрузки и воздействия» (разд. 10, прил. Б и Д); СП 64.13330.2017 «Деревянные конструкции».</t>
        </is>
      </c>
      <c r="B30" s="2" t="n"/>
      <c r="C30" s="2" t="n"/>
      <c r="D30" s="2" t="n"/>
      <c r="E30" s="2" t="n"/>
    </row>
    <row r="31">
      <c r="A31" s="2" t="inlineStr">
        <is>
          <t>Вес снегового покрова Sg (III снеговой район)</t>
        </is>
      </c>
      <c r="B31" s="2" t="inlineStr">
        <is>
          <t>табл. 10,1</t>
        </is>
      </c>
      <c r="C31" s="2" t="inlineStr">
        <is>
          <t>1,50</t>
        </is>
      </c>
      <c r="D31" s="2" t="inlineStr">
        <is>
          <t>кПа</t>
        </is>
      </c>
      <c r="E31" s="2" t="n"/>
    </row>
    <row r="32">
      <c r="A32" s="2" t="inlineStr">
        <is>
          <t>Коэффициент μ для уклона 40°</t>
        </is>
      </c>
      <c r="B32" s="2" t="inlineStr">
        <is>
          <t>μ = (60° − α) / 30°</t>
        </is>
      </c>
      <c r="C32" s="2" t="inlineStr">
        <is>
          <t>0,667</t>
        </is>
      </c>
      <c r="D32" s="2" t="inlineStr"/>
      <c r="E32" s="2" t="n"/>
    </row>
    <row r="33">
      <c r="A33" s="2" t="inlineStr">
        <is>
          <t>Нормативная снеговая нагрузка S0</t>
        </is>
      </c>
      <c r="B33" s="2" t="inlineStr">
        <is>
          <t>S0 = ce·ct·μ·Sg, ce = ct = 1</t>
        </is>
      </c>
      <c r="C33" s="2" t="inlineStr">
        <is>
          <t>1,00</t>
        </is>
      </c>
      <c r="D33" s="2" t="inlineStr">
        <is>
          <t>кПа</t>
        </is>
      </c>
      <c r="E33" s="2" t="n"/>
    </row>
    <row r="34">
      <c r="A34" s="2" t="inlineStr">
        <is>
          <t>Расчётная снеговая нагрузка</t>
        </is>
      </c>
      <c r="B34" s="2" t="inlineStr">
        <is>
          <t>γf = 1,4</t>
        </is>
      </c>
      <c r="C34" s="2" t="inlineStr">
        <is>
          <t>1,40</t>
        </is>
      </c>
      <c r="D34" s="2" t="inlineStr">
        <is>
          <t>кПа</t>
        </is>
      </c>
      <c r="E34" s="2" t="n"/>
    </row>
    <row r="35">
      <c r="A35" s="2" t="inlineStr">
        <is>
          <t>Горизонтальная проекция / длина стропила</t>
        </is>
      </c>
      <c r="B35" s="2" t="inlineStr">
        <is>
          <t>B/2;  B/2 / cos α</t>
        </is>
      </c>
      <c r="C35" s="2" t="inlineStr">
        <is>
          <t>4,20 / 5,48</t>
        </is>
      </c>
      <c r="D35" s="2" t="inlineStr">
        <is>
          <t>м</t>
        </is>
      </c>
      <c r="E35" s="2" t="n"/>
    </row>
    <row r="36">
      <c r="A36" s="2" t="inlineStr">
        <is>
          <t>Расчётная погонная нагрузка</t>
        </is>
      </c>
      <c r="B36" s="2" t="inlineStr">
        <is>
          <t>q = (g/cos α + S)·шаг</t>
        </is>
      </c>
      <c r="C36" s="2" t="inlineStr">
        <is>
          <t>1,19</t>
        </is>
      </c>
      <c r="D36" s="2" t="inlineStr">
        <is>
          <t>кН/м</t>
        </is>
      </c>
      <c r="E36" s="2" t="n"/>
    </row>
    <row r="37">
      <c r="A37" s="2" t="inlineStr">
        <is>
          <t>Изгибающий момент</t>
        </is>
      </c>
      <c r="B37" s="2" t="inlineStr">
        <is>
          <t>M = q·L²/8</t>
        </is>
      </c>
      <c r="C37" s="2" t="inlineStr">
        <is>
          <t>2,63</t>
        </is>
      </c>
      <c r="D37" s="2" t="inlineStr">
        <is>
          <t>кН·м</t>
        </is>
      </c>
      <c r="E37" s="2" t="n"/>
    </row>
    <row r="38">
      <c r="A38" s="2" t="inlineStr">
        <is>
          <t>Напряжение изгиба</t>
        </is>
      </c>
      <c r="B38" s="2" t="inlineStr">
        <is>
          <t>σ = M / W, W = b·h²/6</t>
        </is>
      </c>
      <c r="C38" s="2" t="inlineStr">
        <is>
          <t>7,9</t>
        </is>
      </c>
      <c r="D38" s="2" t="inlineStr">
        <is>
          <t>МПа</t>
        </is>
      </c>
      <c r="E38" s="2" t="n"/>
    </row>
    <row r="39">
      <c r="A39" s="2" t="inlineStr">
        <is>
          <t>Расчётное сопротивление</t>
        </is>
      </c>
      <c r="B39" s="2" t="inlineStr">
        <is>
          <t>R = 19,5 МПа × mдл 0,66 (режим Б)</t>
        </is>
      </c>
      <c r="C39" s="2" t="inlineStr">
        <is>
          <t>12,9</t>
        </is>
      </c>
      <c r="D39" s="2" t="inlineStr">
        <is>
          <t>МПа</t>
        </is>
      </c>
      <c r="E39" s="2" t="n"/>
    </row>
    <row r="40">
      <c r="A40" s="2" t="inlineStr">
        <is>
          <t>Использование по прочности</t>
        </is>
      </c>
      <c r="B40" s="2" t="inlineStr">
        <is>
          <t>σ / R</t>
        </is>
      </c>
      <c r="C40" s="2" t="inlineStr">
        <is>
          <t>61</t>
        </is>
      </c>
      <c r="D40" s="2" t="inlineStr">
        <is>
          <t>%</t>
        </is>
      </c>
      <c r="E40" s="2" t="n"/>
    </row>
    <row r="41">
      <c r="A41" s="2" t="inlineStr">
        <is>
          <t>Прогиб от нормативной нагрузки</t>
        </is>
      </c>
      <c r="B41" s="2" t="inlineStr">
        <is>
          <t>f = 5·q⊥·L⁴ / (384·E·I), E = 10 000 МПа</t>
        </is>
      </c>
      <c r="C41" s="2" t="inlineStr">
        <is>
          <t>18,9</t>
        </is>
      </c>
      <c r="D41" s="2" t="inlineStr">
        <is>
          <t>мм</t>
        </is>
      </c>
      <c r="E41" s="2" t="n"/>
    </row>
    <row r="42">
      <c r="A42" s="2" t="inlineStr">
        <is>
          <t>Предельный прогиб</t>
        </is>
      </c>
      <c r="B42" s="2" t="inlineStr">
        <is>
          <t>L / 200</t>
        </is>
      </c>
      <c r="C42" s="2" t="inlineStr">
        <is>
          <t>27,4</t>
        </is>
      </c>
      <c r="D42" s="2" t="inlineStr">
        <is>
          <t>мм</t>
        </is>
      </c>
      <c r="E42" s="2" t="n"/>
    </row>
    <row r="43">
      <c r="A43" s="2" t="inlineStr">
        <is>
          <t>Постоянная нагрузка (на 1 м² ската)</t>
        </is>
      </c>
      <c r="B43" s="2" t="n"/>
      <c r="C43" s="2" t="n"/>
      <c r="D43" s="2" t="n"/>
      <c r="E43" s="2" t="n"/>
    </row>
    <row r="44">
      <c r="A44" s="2" t="inlineStr">
        <is>
          <t>Слой</t>
        </is>
      </c>
      <c r="B44" s="2" t="inlineStr">
        <is>
          <t>Норм., кПа</t>
        </is>
      </c>
      <c r="C44" s="2" t="inlineStr">
        <is>
          <t>γf</t>
        </is>
      </c>
      <c r="D44" s="2" t="inlineStr">
        <is>
          <t>Расч., кПа</t>
        </is>
      </c>
      <c r="E44" s="2" t="n"/>
    </row>
    <row r="45">
      <c r="A45" s="2" t="inlineStr">
        <is>
          <t>Фальцевая сталь 0,5 мм</t>
        </is>
      </c>
      <c r="B45" s="2" t="inlineStr">
        <is>
          <t>0,050</t>
        </is>
      </c>
      <c r="C45" s="2" t="inlineStr">
        <is>
          <t>1,05</t>
        </is>
      </c>
      <c r="D45" s="2" t="inlineStr">
        <is>
          <t>0,053</t>
        </is>
      </c>
      <c r="E45" s="2" t="n"/>
    </row>
    <row r="46">
      <c r="A46" s="2" t="inlineStr">
        <is>
          <t>Обрешётка 25×100 + контробрешётка</t>
        </is>
      </c>
      <c r="B46" s="2" t="inlineStr">
        <is>
          <t>0,100</t>
        </is>
      </c>
      <c r="C46" s="2" t="inlineStr">
        <is>
          <t>1,10</t>
        </is>
      </c>
      <c r="D46" s="2" t="inlineStr">
        <is>
          <t>0,110</t>
        </is>
      </c>
      <c r="E46" s="2" t="n"/>
    </row>
    <row r="47">
      <c r="A47" s="2" t="inlineStr">
        <is>
          <t>Мембраны</t>
        </is>
      </c>
      <c r="B47" s="2" t="inlineStr">
        <is>
          <t>0,010</t>
        </is>
      </c>
      <c r="C47" s="2" t="inlineStr">
        <is>
          <t>1,20</t>
        </is>
      </c>
      <c r="D47" s="2" t="inlineStr">
        <is>
          <t>0,012</t>
        </is>
      </c>
      <c r="E47" s="2" t="n"/>
    </row>
    <row r="48">
      <c r="A48" s="2" t="inlineStr">
        <is>
          <t>Минвата 250 мм, 35 кг/м³</t>
        </is>
      </c>
      <c r="B48" s="2" t="inlineStr">
        <is>
          <t>0,086</t>
        </is>
      </c>
      <c r="C48" s="2" t="inlineStr">
        <is>
          <t>1,20</t>
        </is>
      </c>
      <c r="D48" s="2" t="inlineStr">
        <is>
          <t>0,103</t>
        </is>
      </c>
      <c r="E48" s="2" t="n"/>
    </row>
    <row r="49">
      <c r="A49" s="2" t="inlineStr">
        <is>
          <t>Стропила 50×200 шаг 600</t>
        </is>
      </c>
      <c r="B49" s="2" t="inlineStr">
        <is>
          <t>0,082</t>
        </is>
      </c>
      <c r="C49" s="2" t="inlineStr">
        <is>
          <t>1,10</t>
        </is>
      </c>
      <c r="D49" s="2" t="inlineStr">
        <is>
          <t>0,090</t>
        </is>
      </c>
      <c r="E49" s="2" t="n"/>
    </row>
    <row r="50">
      <c r="A50" s="2" t="inlineStr">
        <is>
          <t>Обшивка вагонкой 15 мм</t>
        </is>
      </c>
      <c r="B50" s="2" t="inlineStr">
        <is>
          <t>0,074</t>
        </is>
      </c>
      <c r="C50" s="2" t="inlineStr">
        <is>
          <t>1,10</t>
        </is>
      </c>
      <c r="D50" s="2" t="inlineStr">
        <is>
          <t>0,081</t>
        </is>
      </c>
      <c r="E50" s="2" t="n"/>
    </row>
    <row r="51">
      <c r="A51" s="2" t="inlineStr">
        <is>
          <t>Итого</t>
        </is>
      </c>
      <c r="B51" s="2" t="inlineStr">
        <is>
          <t>0,401</t>
        </is>
      </c>
      <c r="C51" s="2" t="inlineStr"/>
      <c r="D51" s="2" t="inlineStr">
        <is>
          <t>0,448</t>
        </is>
      </c>
      <c r="E51" s="2" t="n"/>
    </row>
    <row r="52">
      <c r="A52" s="2" t="inlineStr">
        <is>
          <t>Вывод: Стропила 50×200 с шагом 600 мм проходят: прочность используется на 61 %, прогиб 19 мм меньше допустимых 27 мм.</t>
        </is>
      </c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3" t="inlineStr">
        <is>
          <t>2. Теплозащита каркасного дома</t>
        </is>
      </c>
      <c r="B54" s="2" t="n"/>
      <c r="C54" s="2" t="n"/>
      <c r="D54" s="2" t="n"/>
      <c r="E54" s="2" t="n"/>
    </row>
    <row r="55">
      <c r="A55" s="2" t="inlineStr">
        <is>
          <t>СП 50.13330.2012 «Тепловая защита зданий», табл. 3; СП 131.13330.2020 «Строительная климатология» (Москва).</t>
        </is>
      </c>
      <c r="B55" s="2" t="n"/>
      <c r="C55" s="2" t="n"/>
      <c r="D55" s="2" t="n"/>
      <c r="E55" s="2" t="n"/>
    </row>
    <row r="56">
      <c r="A56" s="2" t="inlineStr">
        <is>
          <t>ГСОП</t>
        </is>
      </c>
      <c r="B56" s="2" t="inlineStr">
        <is>
          <t>(20 − (-2,2)) × 205 сут</t>
        </is>
      </c>
      <c r="C56" s="2" t="inlineStr">
        <is>
          <t>4 551</t>
        </is>
      </c>
      <c r="D56" s="2" t="inlineStr">
        <is>
          <t>°С·сут</t>
        </is>
      </c>
      <c r="E56" s="2" t="n"/>
    </row>
    <row r="57">
      <c r="A57" s="2" t="inlineStr">
        <is>
          <t>Сопротивление теплопередаче, м²·°С/Вт</t>
        </is>
      </c>
      <c r="B57" s="2" t="n"/>
      <c r="C57" s="2" t="n"/>
      <c r="D57" s="2" t="n"/>
      <c r="E57" s="2" t="n"/>
    </row>
    <row r="58">
      <c r="A58" s="2" t="inlineStr">
        <is>
          <t>Конструкция</t>
        </is>
      </c>
      <c r="B58" s="2" t="inlineStr">
        <is>
          <t>Состав</t>
        </is>
      </c>
      <c r="C58" s="2" t="inlineStr">
        <is>
          <t>Требуется</t>
        </is>
      </c>
      <c r="D58" s="2" t="inlineStr">
        <is>
          <t>Принято</t>
        </is>
      </c>
      <c r="E58" s="2" t="inlineStr">
        <is>
          <t>Запас</t>
        </is>
      </c>
    </row>
    <row r="59">
      <c r="A59" s="2" t="inlineStr">
        <is>
          <t>Стены</t>
        </is>
      </c>
      <c r="B59" s="2" t="inlineStr">
        <is>
          <t>минвата 200, ОСП 12</t>
        </is>
      </c>
      <c r="C59" s="2" t="inlineStr">
        <is>
          <t>2,99</t>
        </is>
      </c>
      <c r="D59" s="2" t="inlineStr">
        <is>
          <t>4,26</t>
        </is>
      </c>
      <c r="E59" s="2" t="inlineStr">
        <is>
          <t>+42 %</t>
        </is>
      </c>
    </row>
    <row r="60">
      <c r="A60" s="2" t="inlineStr">
        <is>
          <t>Покрытие (скаты)</t>
        </is>
      </c>
      <c r="B60" s="2" t="inlineStr">
        <is>
          <t>минвата 250 + 50</t>
        </is>
      </c>
      <c r="C60" s="2" t="inlineStr">
        <is>
          <t>4,48</t>
        </is>
      </c>
      <c r="D60" s="2" t="inlineStr">
        <is>
          <t>6,28</t>
        </is>
      </c>
      <c r="E60" s="2" t="inlineStr">
        <is>
          <t>+40 %</t>
        </is>
      </c>
    </row>
    <row r="61">
      <c r="A61" s="2" t="inlineStr">
        <is>
          <t>Перекрытие над подпольем</t>
        </is>
      </c>
      <c r="B61" s="2" t="inlineStr">
        <is>
          <t>минвата 250, доска 28</t>
        </is>
      </c>
      <c r="C61" s="2" t="inlineStr">
        <is>
          <t>3,95</t>
        </is>
      </c>
      <c r="D61" s="2" t="inlineStr">
        <is>
          <t>5,34</t>
        </is>
      </c>
      <c r="E61" s="2" t="inlineStr">
        <is>
          <t>+35 %</t>
        </is>
      </c>
    </row>
    <row r="62">
      <c r="A62" s="2" t="inlineStr">
        <is>
          <t>Вывод: Все ограждения с запасом выше нормы. Панорамные окна — двухкамерные стеклопакеты с тёплой рамкой и мультифункциональным стеклом.</t>
        </is>
      </c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3" t="inlineStr">
        <is>
          <t>3. Ведомость кровли и фасада</t>
        </is>
      </c>
      <c r="B64" s="2" t="n"/>
      <c r="C64" s="2" t="n"/>
      <c r="D64" s="2" t="n"/>
      <c r="E64" s="2" t="n"/>
    </row>
    <row r="65">
      <c r="A65" s="2" t="inlineStr">
        <is>
          <t>Площадь скатов: дом / баня</t>
        </is>
      </c>
      <c r="B65" s="2" t="inlineStr">
        <is>
          <t>2·(B/2 / cos α)·L</t>
        </is>
      </c>
      <c r="C65" s="2" t="inlineStr">
        <is>
          <t>175,4 / 56,4</t>
        </is>
      </c>
      <c r="D65" s="2" t="inlineStr">
        <is>
          <t>м²</t>
        </is>
      </c>
      <c r="E65" s="2" t="n"/>
    </row>
    <row r="66">
      <c r="A66" s="2" t="inlineStr">
        <is>
          <t>Фальцевых панелей</t>
        </is>
      </c>
      <c r="B66" s="2" t="inlineStr">
        <is>
          <t>⌈L / 0,53⌉ на скат</t>
        </is>
      </c>
      <c r="C66" s="2" t="inlineStr">
        <is>
          <t>90</t>
        </is>
      </c>
      <c r="D66" s="2" t="inlineStr">
        <is>
          <t>шт</t>
        </is>
      </c>
      <c r="E66" s="2" t="n"/>
    </row>
    <row r="67">
      <c r="A67" s="2" t="inlineStr">
        <is>
          <t>Длина панели дома</t>
        </is>
      </c>
      <c r="B67" s="2" t="inlineStr">
        <is>
          <t>длина ската + 50 мм</t>
        </is>
      </c>
      <c r="C67" s="2" t="inlineStr">
        <is>
          <t>5,53</t>
        </is>
      </c>
      <c r="D67" s="2" t="inlineStr">
        <is>
          <t>м</t>
        </is>
      </c>
      <c r="E67" s="2" t="n"/>
    </row>
    <row r="68">
      <c r="A68" s="2" t="inlineStr">
        <is>
          <t>Кляммеры (шаг 400 мм)</t>
        </is>
      </c>
      <c r="B68" s="2" t="inlineStr">
        <is>
          <t>≈ (Lпан / 0,4 + 1) на панель</t>
        </is>
      </c>
      <c r="C68" s="2" t="inlineStr">
        <is>
          <t>1 350</t>
        </is>
      </c>
      <c r="D68" s="2" t="inlineStr">
        <is>
          <t>шт</t>
        </is>
      </c>
      <c r="E68" s="2" t="n"/>
    </row>
    <row r="69">
      <c r="A69" s="2" t="inlineStr">
        <is>
          <t>Фальц на восточном торце</t>
        </is>
      </c>
      <c r="B69" s="2" t="inlineStr">
        <is>
          <t>по модели</t>
        </is>
      </c>
      <c r="C69" s="2" t="inlineStr">
        <is>
          <t>37,4</t>
        </is>
      </c>
      <c r="D69" s="2" t="inlineStr">
        <is>
          <t>м²</t>
        </is>
      </c>
      <c r="E69" s="2" t="n"/>
    </row>
    <row r="70">
      <c r="A70" s="2" t="inlineStr">
        <is>
          <t>Скрытый желоб (дом + баня)</t>
        </is>
      </c>
      <c r="B70" s="2" t="inlineStr">
        <is>
          <t>2·L</t>
        </is>
      </c>
      <c r="C70" s="2" t="inlineStr">
        <is>
          <t>46,4</t>
        </is>
      </c>
      <c r="D70" s="2" t="inlineStr">
        <is>
          <t>м</t>
        </is>
      </c>
      <c r="E70" s="2" t="n"/>
    </row>
    <row r="71">
      <c r="A71" s="2" t="inlineStr">
        <is>
          <t>Планкен: площадь стен</t>
        </is>
      </c>
      <c r="B71" s="2" t="inlineStr">
        <is>
          <t>по модели, за вычетом проёмов</t>
        </is>
      </c>
      <c r="C71" s="2" t="inlineStr">
        <is>
          <t>145,7</t>
        </is>
      </c>
      <c r="D71" s="2" t="inlineStr">
        <is>
          <t>м²</t>
        </is>
      </c>
      <c r="E71" s="2" t="n"/>
    </row>
    <row r="72">
      <c r="A72" s="2" t="inlineStr">
        <is>
          <t>Планкен 20×120: погонаж с запасом 10 %</t>
        </is>
      </c>
      <c r="B72" s="2" t="inlineStr">
        <is>
          <t>A / 0,126 × 1,1</t>
        </is>
      </c>
      <c r="C72" s="2" t="inlineStr">
        <is>
          <t>1 272</t>
        </is>
      </c>
      <c r="D72" s="2" t="inlineStr">
        <is>
          <t>п. м</t>
        </is>
      </c>
      <c r="E72" s="2" t="n"/>
    </row>
    <row r="73">
      <c r="A73" s="2" t="inlineStr">
        <is>
          <t>Объём доски</t>
        </is>
      </c>
      <c r="B73" s="2" t="inlineStr">
        <is>
          <t>п. м × 0,02 × 0,12</t>
        </is>
      </c>
      <c r="C73" s="2" t="inlineStr">
        <is>
          <t>3,05</t>
        </is>
      </c>
      <c r="D73" s="2" t="inlineStr">
        <is>
          <t>м³</t>
        </is>
      </c>
      <c r="E73" s="2" t="n"/>
    </row>
    <row r="74">
      <c r="A74" s="2" t="inlineStr">
        <is>
          <t>Саморезы (2 на пересечение, обрешётка 500 мм)</t>
        </is>
      </c>
      <c r="B74" s="2" t="inlineStr">
        <is>
          <t>≈ 31,7 шт/м²</t>
        </is>
      </c>
      <c r="C74" s="2" t="inlineStr">
        <is>
          <t>4 620</t>
        </is>
      </c>
      <c r="D74" s="2" t="inlineStr">
        <is>
          <t>шт</t>
        </is>
      </c>
      <c r="E74" s="2" t="n"/>
    </row>
    <row r="75">
      <c r="A75" s="2" t="inlineStr">
        <is>
          <t>Вывод: Ведомость получена из той же модели, что и чертежи: если изменить окно, погонаж и число панелей пересчитаются.</t>
        </is>
      </c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3" t="inlineStr">
        <is>
          <t>4. Терраса из лиственницы: лаги и винтовые сваи</t>
        </is>
      </c>
      <c r="B77" s="2" t="n"/>
      <c r="C77" s="2" t="n"/>
      <c r="D77" s="2" t="n"/>
      <c r="E77" s="2" t="n"/>
    </row>
    <row r="78">
      <c r="A78" s="2" t="inlineStr">
        <is>
          <t>СП 20.13330.2016, табл. 8.3 (террасы — 2,0 кПа); СП 64.13330.2017.</t>
        </is>
      </c>
      <c r="B78" s="2" t="n"/>
      <c r="C78" s="2" t="n"/>
      <c r="D78" s="2" t="n"/>
      <c r="E78" s="2" t="n"/>
    </row>
    <row r="79">
      <c r="A79" s="2" t="inlineStr">
        <is>
          <t>Площадь террасы</t>
        </is>
      </c>
      <c r="B79" s="2" t="inlineStr"/>
      <c r="C79" s="2" t="inlineStr">
        <is>
          <t>79,2</t>
        </is>
      </c>
      <c r="D79" s="2" t="inlineStr">
        <is>
          <t>м²</t>
        </is>
      </c>
      <c r="E79" s="2" t="n"/>
    </row>
    <row r="80">
      <c r="A80" s="2" t="inlineStr">
        <is>
          <t>Расчётная нагрузка на лагу</t>
        </is>
      </c>
      <c r="B80" s="2" t="inlineStr">
        <is>
          <t>(2,0·1,2 + 0,3·1,1)·0,5</t>
        </is>
      </c>
      <c r="C80" s="2" t="inlineStr">
        <is>
          <t>1,36</t>
        </is>
      </c>
      <c r="D80" s="2" t="inlineStr">
        <is>
          <t>кН/м</t>
        </is>
      </c>
      <c r="E80" s="2" t="n"/>
    </row>
    <row r="81">
      <c r="A81" s="2" t="inlineStr">
        <is>
          <t>Пролёт лаги</t>
        </is>
      </c>
      <c r="B81" s="2" t="inlineStr">
        <is>
          <t>между балками</t>
        </is>
      </c>
      <c r="C81" s="2" t="inlineStr">
        <is>
          <t>1,5</t>
        </is>
      </c>
      <c r="D81" s="2" t="inlineStr">
        <is>
          <t>м</t>
        </is>
      </c>
      <c r="E81" s="2" t="n"/>
    </row>
    <row r="82">
      <c r="A82" s="2" t="inlineStr">
        <is>
          <t>Напряжение изгиба</t>
        </is>
      </c>
      <c r="B82" s="2" t="inlineStr">
        <is>
          <t>M/W</t>
        </is>
      </c>
      <c r="C82" s="2" t="inlineStr">
        <is>
          <t>4,6</t>
        </is>
      </c>
      <c r="D82" s="2" t="inlineStr">
        <is>
          <t>МПа</t>
        </is>
      </c>
      <c r="E82" s="2" t="n"/>
    </row>
    <row r="83">
      <c r="A83" s="2" t="inlineStr">
        <is>
          <t>Прогиб / предел L/250</t>
        </is>
      </c>
      <c r="B83" s="2" t="inlineStr"/>
      <c r="C83" s="2" t="inlineStr">
        <is>
          <t>1,8 / 6,0</t>
        </is>
      </c>
      <c r="D83" s="2" t="inlineStr">
        <is>
          <t>мм</t>
        </is>
      </c>
      <c r="E83" s="2" t="n"/>
    </row>
    <row r="84">
      <c r="A84" s="2" t="inlineStr">
        <is>
          <t>Количество свай</t>
        </is>
      </c>
      <c r="B84" s="2" t="inlineStr">
        <is>
          <t>10 × 4</t>
        </is>
      </c>
      <c r="C84" s="2" t="inlineStr">
        <is>
          <t>40</t>
        </is>
      </c>
      <c r="D84" s="2" t="inlineStr">
        <is>
          <t>шт</t>
        </is>
      </c>
      <c r="E84" s="2" t="n"/>
    </row>
    <row r="85">
      <c r="A85" s="2" t="inlineStr">
        <is>
          <t>Нагрузка на сваю</t>
        </is>
      </c>
      <c r="B85" s="2" t="inlineStr">
        <is>
          <t>(2,4 + 0,33 + 0,2)·2,0·1,5</t>
        </is>
      </c>
      <c r="C85" s="2" t="inlineStr">
        <is>
          <t>8,8</t>
        </is>
      </c>
      <c r="D85" s="2" t="inlineStr">
        <is>
          <t>кН</t>
        </is>
      </c>
      <c r="E85" s="2" t="n"/>
    </row>
    <row r="86">
      <c r="A86" s="2" t="inlineStr">
        <is>
          <t>Доска 28×143, погонаж с запасом 7 %</t>
        </is>
      </c>
      <c r="B86" s="2" t="inlineStr">
        <is>
          <t>A / 0,149 × 1,07</t>
        </is>
      </c>
      <c r="C86" s="2" t="inlineStr">
        <is>
          <t>569</t>
        </is>
      </c>
      <c r="D86" s="2" t="inlineStr">
        <is>
          <t>п. м</t>
        </is>
      </c>
      <c r="E86" s="2" t="n"/>
    </row>
    <row r="87">
      <c r="A87" s="2" t="inlineStr">
        <is>
          <t>Вывод: Лага 50×100 проходит с большим запасом (σ = 4,6 МПа при R = 12,9 МПа). Несущую способность свай подтверждают пробным закручиванием на участке.</t>
        </is>
      </c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3" t="inlineStr">
        <is>
          <t>5. Стальной навес со стеклом над террасой</t>
        </is>
      </c>
      <c r="B89" s="2" t="n"/>
      <c r="C89" s="2" t="n"/>
      <c r="D89" s="2" t="n"/>
      <c r="E89" s="2" t="n"/>
    </row>
    <row r="90">
      <c r="A90" s="2" t="inlineStr">
        <is>
          <t>СП 20.13330.2016; СП 16.13330.2017 «Стальные конструкции».</t>
        </is>
      </c>
      <c r="B90" s="2" t="n"/>
      <c r="C90" s="2" t="n"/>
      <c r="D90" s="2" t="n"/>
      <c r="E90" s="2" t="n"/>
    </row>
    <row r="91">
      <c r="A91" s="2" t="inlineStr">
        <is>
          <t>Расчётная нагрузка на ребро</t>
        </is>
      </c>
      <c r="B91" s="2" t="inlineStr">
        <is>
          <t>(1,5·1,4 + 0,4·1,05)·0,40</t>
        </is>
      </c>
      <c r="C91" s="2" t="inlineStr">
        <is>
          <t>1,01</t>
        </is>
      </c>
      <c r="D91" s="2" t="inlineStr">
        <is>
          <t>кН/м</t>
        </is>
      </c>
      <c r="E91" s="2" t="n"/>
    </row>
    <row r="92">
      <c r="A92" s="2" t="inlineStr">
        <is>
          <t>Момент</t>
        </is>
      </c>
      <c r="B92" s="2" t="inlineStr">
        <is>
          <t>q·L²/8</t>
        </is>
      </c>
      <c r="C92" s="2" t="inlineStr">
        <is>
          <t>2,12</t>
        </is>
      </c>
      <c r="D92" s="2" t="inlineStr">
        <is>
          <t>кН·м</t>
        </is>
      </c>
      <c r="E92" s="2" t="n"/>
    </row>
    <row r="93">
      <c r="A93" s="2" t="inlineStr">
        <is>
          <t>Wx трубы 120×60×4</t>
        </is>
      </c>
      <c r="B93" s="2" t="inlineStr">
        <is>
          <t>Ix / (h/2)</t>
        </is>
      </c>
      <c r="C93" s="2" t="inlineStr">
        <is>
          <t>42,5</t>
        </is>
      </c>
      <c r="D93" s="2" t="inlineStr">
        <is>
          <t>см³</t>
        </is>
      </c>
      <c r="E93" s="2" t="n"/>
    </row>
    <row r="94">
      <c r="A94" s="2" t="inlineStr">
        <is>
          <t>Напряжение / Ry·γc</t>
        </is>
      </c>
      <c r="B94" s="2" t="inlineStr"/>
      <c r="C94" s="2" t="inlineStr">
        <is>
          <t>50 / 220</t>
        </is>
      </c>
      <c r="D94" s="2" t="inlineStr">
        <is>
          <t>МПа</t>
        </is>
      </c>
      <c r="E94" s="2" t="n"/>
    </row>
    <row r="95">
      <c r="A95" s="2" t="inlineStr">
        <is>
          <t>Прогиб / предел L/200</t>
        </is>
      </c>
      <c r="B95" s="2" t="inlineStr"/>
      <c r="C95" s="2" t="inlineStr">
        <is>
          <t>5,3 / 20,5</t>
        </is>
      </c>
      <c r="D95" s="2" t="inlineStr">
        <is>
          <t>мм</t>
        </is>
      </c>
      <c r="E95" s="2" t="n"/>
    </row>
    <row r="96">
      <c r="A96" s="2" t="inlineStr">
        <is>
          <t>Вывод: Сечение проходит с запасом. Шаг рёбер 400 мм задан пролётом стекла и ритмом фасада.</t>
        </is>
      </c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3" t="inlineStr">
        <is>
          <t>6. Водоотвод скрытых желобов</t>
        </is>
      </c>
      <c r="B98" s="2" t="n"/>
      <c r="C98" s="2" t="n"/>
      <c r="D98" s="2" t="n"/>
      <c r="E98" s="2" t="n"/>
    </row>
    <row r="99">
      <c r="A99" s="2" t="inlineStr">
        <is>
          <t>СП 32.13330.2018 (q20 для Москвы ≈ 80 л/(с·га)); пересчёт на 5-минутный дождь q5 = q20·(20/5)^n, n = 0,71.</t>
        </is>
      </c>
      <c r="B99" s="2" t="n"/>
      <c r="C99" s="2" t="n"/>
      <c r="D99" s="2" t="n"/>
      <c r="E99" s="2" t="n"/>
    </row>
    <row r="100">
      <c r="A100" s="2" t="inlineStr">
        <is>
          <t>Площадь водосбора одного ската (в плане)</t>
        </is>
      </c>
      <c r="B100" s="2" t="inlineStr">
        <is>
          <t>L × B/2</t>
        </is>
      </c>
      <c r="C100" s="2" t="inlineStr">
        <is>
          <t>67,2</t>
        </is>
      </c>
      <c r="D100" s="2" t="inlineStr">
        <is>
          <t>м²</t>
        </is>
      </c>
      <c r="E100" s="2" t="n"/>
    </row>
    <row r="101">
      <c r="A101" s="2" t="inlineStr">
        <is>
          <t>Интенсивность дождя q5</t>
        </is>
      </c>
      <c r="B101" s="2" t="inlineStr">
        <is>
          <t>q20·4^n</t>
        </is>
      </c>
      <c r="C101" s="2" t="inlineStr">
        <is>
          <t>214</t>
        </is>
      </c>
      <c r="D101" s="2" t="inlineStr">
        <is>
          <t>л/(с·га)</t>
        </is>
      </c>
      <c r="E101" s="2" t="n"/>
    </row>
    <row r="102">
      <c r="A102" s="2" t="inlineStr">
        <is>
          <t>Расход с ската</t>
        </is>
      </c>
      <c r="B102" s="2" t="inlineStr">
        <is>
          <t>F·q5 / 10 000</t>
        </is>
      </c>
      <c r="C102" s="2" t="inlineStr">
        <is>
          <t>1,44</t>
        </is>
      </c>
      <c r="D102" s="2" t="inlineStr">
        <is>
          <t>л/с</t>
        </is>
      </c>
      <c r="E102" s="2" t="n"/>
    </row>
    <row r="103">
      <c r="A103" s="2" t="inlineStr">
        <is>
          <t>Принято</t>
        </is>
      </c>
      <c r="B103" s="2" t="inlineStr">
        <is>
          <t>2 трубы Ø 100 на скат</t>
        </is>
      </c>
      <c r="C103" s="2" t="inlineStr">
        <is>
          <t>2 × ≈ 4 л/с</t>
        </is>
      </c>
      <c r="D103" s="2" t="inlineStr"/>
      <c r="E103" s="2" t="n"/>
    </row>
    <row r="104">
      <c r="A104" s="2" t="inlineStr">
        <is>
          <t>Вывод: Пропускная способность труб с запасом перекрывает расход. Желоб с подогревом защищает от наледи весной.</t>
        </is>
      </c>
      <c r="B104" s="2" t="n"/>
      <c r="C104" s="2" t="n"/>
      <c r="D104" s="2" t="n"/>
      <c r="E10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58" customWidth="1" min="1" max="1"/>
    <col width="40" customWidth="1" min="2" max="2"/>
    <col width="30" customWidth="1" min="3" max="3"/>
    <col width="16" customWidth="1" min="4" max="4"/>
    <col width="16" customWidth="1" min="5" max="5"/>
  </cols>
  <sheetData>
    <row r="1">
      <c r="A1" s="1" t="inlineStr">
        <is>
          <t>Резиденция «Барвиха»</t>
        </is>
      </c>
      <c r="B1" s="2" t="inlineStr">
        <is>
          <t>Неоклассика</t>
        </is>
      </c>
      <c r="C1" s="2" t="inlineStr">
        <is>
          <t>Одинцовский р-н, Московская обл.</t>
        </is>
      </c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Ведомость отделки фасадов</t>
        </is>
      </c>
      <c r="B3" s="2" t="n"/>
      <c r="C3" s="2" t="n"/>
      <c r="D3" s="2" t="n"/>
      <c r="E3" s="2" t="n"/>
    </row>
    <row r="4">
      <c r="A4" s="4" t="inlineStr">
        <is>
          <t>Материал</t>
        </is>
      </c>
      <c r="B4" s="4" t="inlineStr">
        <is>
          <t>Система</t>
        </is>
      </c>
      <c r="C4" s="4" t="inlineStr">
        <is>
          <t>Цвет / отделка</t>
        </is>
      </c>
      <c r="D4" s="4" t="inlineStr">
        <is>
          <t>Объём</t>
        </is>
      </c>
      <c r="E4" s="2" t="n"/>
    </row>
    <row r="5">
      <c r="A5" s="2" t="inlineStr">
        <is>
          <t>Штукатурка минеральная + силикатная краска</t>
        </is>
      </c>
      <c r="B5" s="2" t="inlineStr">
        <is>
          <t>по газобетону, армирование</t>
        </is>
      </c>
      <c r="C5" s="2" t="inlineStr">
        <is>
          <t>тёплый кремовый, NCS S 1010-Y20R</t>
        </is>
      </c>
      <c r="D5" s="2" t="inlineStr">
        <is>
          <t>372 м²</t>
        </is>
      </c>
      <c r="E5" s="2" t="n"/>
    </row>
    <row r="6">
      <c r="A6" s="2" t="inlineStr">
        <is>
          <t>Декор: карниз, наличники, руст, пояса</t>
        </is>
      </c>
      <c r="B6" s="2" t="inlineStr">
        <is>
          <t>фасадный полистиролбетон</t>
        </is>
      </c>
      <c r="C6" s="2" t="inlineStr">
        <is>
          <t>белый, NCS S 0502-Y</t>
        </is>
      </c>
      <c r="D6" s="2" t="inlineStr">
        <is>
          <t>по ведомости</t>
        </is>
      </c>
      <c r="E6" s="2" t="n"/>
    </row>
    <row r="7">
      <c r="A7" s="2" t="inlineStr">
        <is>
          <t>Колонны ионические, капители с волютами</t>
        </is>
      </c>
      <c r="B7" s="2" t="inlineStr">
        <is>
          <t>стеклофибробетон</t>
        </is>
      </c>
      <c r="C7" s="2" t="inlineStr">
        <is>
          <t>белый</t>
        </is>
      </c>
      <c r="D7" s="2" t="inlineStr">
        <is>
          <t>4 шт</t>
        </is>
      </c>
      <c r="E7" s="2" t="n"/>
    </row>
    <row r="8">
      <c r="A8" s="2" t="inlineStr">
        <is>
          <t>Цоколь — рустованный известняк</t>
        </is>
      </c>
      <c r="B8" s="2" t="inlineStr">
        <is>
          <t>блоки 600×300, фаска</t>
        </is>
      </c>
      <c r="C8" s="2" t="inlineStr">
        <is>
          <t>светло-серый</t>
        </is>
      </c>
      <c r="D8" s="2" t="inlineStr">
        <is>
          <t>68 м²</t>
        </is>
      </c>
      <c r="E8" s="2" t="n"/>
    </row>
    <row r="9">
      <c r="A9" s="2" t="inlineStr">
        <is>
          <t>Кровля — натуральный сланец 400×250</t>
        </is>
      </c>
      <c r="B9" s="2" t="inlineStr">
        <is>
          <t>медные ендовы и водостоки</t>
        </is>
      </c>
      <c r="C9" s="2" t="inlineStr">
        <is>
          <t>серо-графитовый</t>
        </is>
      </c>
      <c r="D9" s="2" t="inlineStr">
        <is>
          <t>518 м²</t>
        </is>
      </c>
      <c r="E9" s="2" t="n"/>
    </row>
    <row r="10">
      <c r="A10" s="2" t="inlineStr">
        <is>
          <t>Окна деревянные со шпросами</t>
        </is>
      </c>
      <c r="B10" s="2" t="inlineStr">
        <is>
          <t>двухкамерный стеклопакет</t>
        </is>
      </c>
      <c r="C10" s="2" t="inlineStr">
        <is>
          <t>белые, RAL 9010</t>
        </is>
      </c>
      <c r="D10" s="2" t="inlineStr">
        <is>
          <t>168 м²</t>
        </is>
      </c>
      <c r="E10" s="2" t="n"/>
    </row>
    <row r="11">
      <c r="A11" s="2" t="inlineStr">
        <is>
          <t>Входная дверь — массив дуба</t>
        </is>
      </c>
      <c r="B11" s="2" t="inlineStr">
        <is>
          <t>филёнчатая, двупольная</t>
        </is>
      </c>
      <c r="C11" s="2" t="inlineStr">
        <is>
          <t>морёный дуб</t>
        </is>
      </c>
      <c r="D11" s="2" t="inlineStr">
        <is>
          <t>1 шт</t>
        </is>
      </c>
      <c r="E11" s="2" t="n"/>
    </row>
    <row r="12">
      <c r="A12" s="2" t="inlineStr">
        <is>
          <t>Крыльцо, ступени — гранит</t>
        </is>
      </c>
      <c r="B12" s="2" t="inlineStr">
        <is>
          <t>термообработанный, R11</t>
        </is>
      </c>
      <c r="C12" s="2" t="inlineStr">
        <is>
          <t>светло-серый</t>
        </is>
      </c>
      <c r="D12" s="2" t="inlineStr">
        <is>
          <t>по проекту</t>
        </is>
      </c>
      <c r="E12" s="2" t="n"/>
    </row>
    <row r="13">
      <c r="A13" s="2" t="n"/>
      <c r="B13" s="2" t="n"/>
      <c r="C13" s="2" t="n"/>
      <c r="D13" s="2" t="n"/>
      <c r="E13" s="2" t="n"/>
    </row>
    <row r="14">
      <c r="A14" s="3" t="inlineStr">
        <is>
          <t>Смета фасадов и благоустройства, ₽</t>
        </is>
      </c>
      <c r="B14" s="2" t="n"/>
      <c r="C14" s="2" t="n"/>
      <c r="D14" s="2" t="n"/>
      <c r="E14" s="2" t="n"/>
    </row>
    <row r="15">
      <c r="A15" s="4" t="inlineStr">
        <is>
          <t>Позиция</t>
        </is>
      </c>
      <c r="B15" s="4" t="inlineStr">
        <is>
          <t>Кол-во</t>
        </is>
      </c>
      <c r="C15" s="4" t="inlineStr">
        <is>
          <t>Ед.</t>
        </is>
      </c>
      <c r="D15" s="4" t="inlineStr">
        <is>
          <t>Ставка</t>
        </is>
      </c>
      <c r="E15" s="4" t="inlineStr">
        <is>
          <t>Сумма</t>
        </is>
      </c>
    </row>
    <row r="16">
      <c r="A16" s="2" t="inlineStr">
        <is>
          <t>Фасадная штукатурка, силикатная краска</t>
        </is>
      </c>
      <c r="B16" s="2" t="n">
        <v>372.26</v>
      </c>
      <c r="C16" s="2" t="inlineStr">
        <is>
          <t>м²</t>
        </is>
      </c>
      <c r="D16" s="5" t="n">
        <v>3200</v>
      </c>
      <c r="E16" s="5">
        <f>B16*D16</f>
        <v/>
      </c>
    </row>
    <row r="17">
      <c r="A17" s="2" t="inlineStr">
        <is>
          <t>Цоколь: рустованный известняк</t>
        </is>
      </c>
      <c r="B17" s="2" t="n">
        <v>68.40000000000001</v>
      </c>
      <c r="C17" s="2" t="inlineStr">
        <is>
          <t>м²</t>
        </is>
      </c>
      <c r="D17" s="5" t="n">
        <v>9800</v>
      </c>
      <c r="E17" s="5">
        <f>B17*D17</f>
        <v/>
      </c>
    </row>
    <row r="18">
      <c r="A18" s="2" t="inlineStr">
        <is>
          <t>Карниз, архитрав, фриз, пояса (декор)</t>
        </is>
      </c>
      <c r="B18" s="2" t="n">
        <v>270</v>
      </c>
      <c r="C18" s="2" t="inlineStr">
        <is>
          <t>п. м</t>
        </is>
      </c>
      <c r="D18" s="5" t="n">
        <v>7400</v>
      </c>
      <c r="E18" s="5">
        <f>B18*D18</f>
        <v/>
      </c>
    </row>
    <row r="19">
      <c r="A19" s="2" t="inlineStr">
        <is>
          <t>Наличники с сандриками</t>
        </is>
      </c>
      <c r="B19" s="2" t="n">
        <v>52</v>
      </c>
      <c r="C19" s="2" t="inlineStr">
        <is>
          <t>компл.</t>
        </is>
      </c>
      <c r="D19" s="5" t="n">
        <v>38000</v>
      </c>
      <c r="E19" s="5">
        <f>B19*D19</f>
        <v/>
      </c>
    </row>
    <row r="20">
      <c r="A20" s="2" t="inlineStr">
        <is>
          <t>Колонны ионические с капителями</t>
        </is>
      </c>
      <c r="B20" s="2" t="n">
        <v>4</v>
      </c>
      <c r="C20" s="2" t="inlineStr">
        <is>
          <t>шт</t>
        </is>
      </c>
      <c r="D20" s="5" t="n">
        <v>420000</v>
      </c>
      <c r="E20" s="5">
        <f>B20*D20</f>
        <v/>
      </c>
    </row>
    <row r="21">
      <c r="A21" s="2" t="inlineStr">
        <is>
          <t>Балюстрада: балясины, поручень, плинт</t>
        </is>
      </c>
      <c r="B21" s="2" t="n">
        <v>82</v>
      </c>
      <c r="C21" s="2" t="inlineStr">
        <is>
          <t>шт</t>
        </is>
      </c>
      <c r="D21" s="5" t="n">
        <v>4800</v>
      </c>
      <c r="E21" s="5">
        <f>B21*D21</f>
        <v/>
      </c>
    </row>
    <row r="22">
      <c r="A22" s="2" t="inlineStr">
        <is>
          <t>Деревянные окна со шпросами, белые</t>
        </is>
      </c>
      <c r="B22" s="2" t="n">
        <v>168.14</v>
      </c>
      <c r="C22" s="2" t="inlineStr">
        <is>
          <t>м²</t>
        </is>
      </c>
      <c r="D22" s="5" t="n">
        <v>46000</v>
      </c>
      <c r="E22" s="5">
        <f>B22*D22</f>
        <v/>
      </c>
    </row>
    <row r="23">
      <c r="A23" s="2" t="inlineStr">
        <is>
          <t>Кровля: натуральный сланец, медные водостоки</t>
        </is>
      </c>
      <c r="B23" s="2" t="n">
        <v>518.2</v>
      </c>
      <c r="C23" s="2" t="inlineStr">
        <is>
          <t>м²</t>
        </is>
      </c>
      <c r="D23" s="5" t="n">
        <v>11500</v>
      </c>
      <c r="E23" s="5">
        <f>B23*D23</f>
        <v/>
      </c>
    </row>
    <row r="24">
      <c r="A24" s="2" t="inlineStr">
        <is>
          <t>Гранитное крыльцо и лестницы</t>
        </is>
      </c>
      <c r="B24" s="2" t="n">
        <v>1</v>
      </c>
      <c r="C24" s="2" t="inlineStr">
        <is>
          <t>компл.</t>
        </is>
      </c>
      <c r="D24" s="5" t="n">
        <v>1350000</v>
      </c>
      <c r="E24" s="5">
        <f>B24*D24</f>
        <v/>
      </c>
    </row>
    <row r="25">
      <c r="A25" s="2" t="inlineStr">
        <is>
          <t>Курдонёр, фонтан, партер, топиари</t>
        </is>
      </c>
      <c r="B25" s="2" t="n">
        <v>1</v>
      </c>
      <c r="C25" s="2" t="inlineStr">
        <is>
          <t>компл.</t>
        </is>
      </c>
      <c r="D25" s="5" t="n">
        <v>4600000</v>
      </c>
      <c r="E25" s="5">
        <f>B25*D25</f>
        <v/>
      </c>
    </row>
    <row r="26">
      <c r="A26" s="2" t="inlineStr">
        <is>
          <t>Архитектурная подсветка</t>
        </is>
      </c>
      <c r="B26" s="2" t="n">
        <v>1</v>
      </c>
      <c r="C26" s="2" t="inlineStr">
        <is>
          <t>компл.</t>
        </is>
      </c>
      <c r="D26" s="5" t="n">
        <v>620000</v>
      </c>
      <c r="E26" s="5">
        <f>B26*D26</f>
        <v/>
      </c>
    </row>
    <row r="27">
      <c r="A27" s="3" t="inlineStr">
        <is>
          <t>Итого</t>
        </is>
      </c>
      <c r="B27" s="2" t="n"/>
      <c r="C27" s="2" t="n"/>
      <c r="D27" s="2" t="n"/>
      <c r="E27" s="6">
        <f>SUM(E16:E26)</f>
        <v/>
      </c>
    </row>
    <row r="28">
      <c r="A28" s="2" t="inlineStr">
        <is>
          <t>Ориентировочно, цены Московского региона на 10.2026; без несущих конструкций и инженерных систем.</t>
        </is>
      </c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7" t="inlineStr">
        <is>
          <t>Расчёты</t>
        </is>
      </c>
      <c r="B30" s="2" t="n"/>
      <c r="C30" s="2" t="n"/>
      <c r="D30" s="2" t="n"/>
      <c r="E30" s="2" t="n"/>
    </row>
    <row r="31">
      <c r="A31" s="3" t="inlineStr">
        <is>
          <t>1. Ионический ордер портика по Виньоле</t>
        </is>
      </c>
      <c r="B31" s="2" t="n"/>
      <c r="C31" s="2" t="n"/>
      <c r="D31" s="2" t="n"/>
      <c r="E31" s="2" t="n"/>
    </row>
    <row r="32">
      <c r="A32" s="2" t="inlineStr">
        <is>
          <t>Дж. Б. да Виньола, «Правило пяти ордеров архитектуры»: ионическая колонна — 18 модулей (9 D), антаблемент — 4,5 модуля; модуль M = D/2.</t>
        </is>
      </c>
      <c r="B32" s="2" t="n"/>
      <c r="C32" s="2" t="n"/>
      <c r="D32" s="2" t="n"/>
      <c r="E32" s="2" t="n"/>
    </row>
    <row r="33">
      <c r="A33" s="2" t="inlineStr">
        <is>
          <t>Высота колонны с базой и капителью H</t>
        </is>
      </c>
      <c r="B33" s="2" t="inlineStr">
        <is>
          <t>GF + FF</t>
        </is>
      </c>
      <c r="C33" s="2" t="inlineStr">
        <is>
          <t>7,00</t>
        </is>
      </c>
      <c r="D33" s="2" t="inlineStr">
        <is>
          <t>м</t>
        </is>
      </c>
      <c r="E33" s="2" t="n"/>
    </row>
    <row r="34">
      <c r="A34" s="2" t="inlineStr">
        <is>
          <t>Нижний диаметр D</t>
        </is>
      </c>
      <c r="B34" s="2" t="inlineStr">
        <is>
          <t>H / 9</t>
        </is>
      </c>
      <c r="C34" s="2" t="inlineStr">
        <is>
          <t>778</t>
        </is>
      </c>
      <c r="D34" s="2" t="inlineStr">
        <is>
          <t>мм</t>
        </is>
      </c>
      <c r="E34" s="2" t="n"/>
    </row>
    <row r="35">
      <c r="A35" s="2" t="inlineStr">
        <is>
          <t>Модуль M</t>
        </is>
      </c>
      <c r="B35" s="2" t="inlineStr">
        <is>
          <t>D / 2</t>
        </is>
      </c>
      <c r="C35" s="2" t="inlineStr">
        <is>
          <t>389</t>
        </is>
      </c>
      <c r="D35" s="2" t="inlineStr">
        <is>
          <t>мм</t>
        </is>
      </c>
      <c r="E35" s="2" t="n"/>
    </row>
    <row r="36">
      <c r="A36" s="2" t="inlineStr">
        <is>
          <t>Верхний диаметр (утонение с 1/3 высоты)</t>
        </is>
      </c>
      <c r="B36" s="2" t="inlineStr">
        <is>
          <t>5/6 D</t>
        </is>
      </c>
      <c r="C36" s="2" t="inlineStr">
        <is>
          <t>648</t>
        </is>
      </c>
      <c r="D36" s="2" t="inlineStr">
        <is>
          <t>мм</t>
        </is>
      </c>
      <c r="E36" s="2" t="n"/>
    </row>
    <row r="37">
      <c r="A37" s="2" t="inlineStr">
        <is>
          <t>Межколонье в свету</t>
        </is>
      </c>
      <c r="B37" s="2" t="inlineStr">
        <is>
          <t>шаг колонн − D</t>
        </is>
      </c>
      <c r="C37" s="2" t="inlineStr">
        <is>
          <t>1 389</t>
        </is>
      </c>
      <c r="D37" s="2" t="inlineStr">
        <is>
          <t>мм</t>
        </is>
      </c>
      <c r="E37" s="2" t="n"/>
    </row>
    <row r="38">
      <c r="A38" s="2" t="inlineStr">
        <is>
          <t>То же в диаметрах</t>
        </is>
      </c>
      <c r="B38" s="2" t="inlineStr"/>
      <c r="C38" s="2" t="inlineStr">
        <is>
          <t>1,79</t>
        </is>
      </c>
      <c r="D38" s="2" t="inlineStr">
        <is>
          <t>D</t>
        </is>
      </c>
      <c r="E38" s="2" t="n"/>
    </row>
    <row r="39">
      <c r="A39" s="2" t="inlineStr">
        <is>
          <t>Уклон фронтона</t>
        </is>
      </c>
      <c r="B39" s="2" t="inlineStr">
        <is>
          <t>классический диапазон 12–15°</t>
        </is>
      </c>
      <c r="C39" s="2" t="inlineStr">
        <is>
          <t>15</t>
        </is>
      </c>
      <c r="D39" s="2" t="inlineStr">
        <is>
          <t>°</t>
        </is>
      </c>
      <c r="E39" s="2" t="n"/>
    </row>
    <row r="40">
      <c r="A40" s="2" t="inlineStr">
        <is>
          <t>Части ордера</t>
        </is>
      </c>
      <c r="B40" s="2" t="n"/>
      <c r="C40" s="2" t="n"/>
      <c r="D40" s="2" t="n"/>
      <c r="E40" s="2" t="n"/>
    </row>
    <row r="41">
      <c r="A41" s="2" t="inlineStr">
        <is>
          <t>Элемент</t>
        </is>
      </c>
      <c r="B41" s="2" t="inlineStr">
        <is>
          <t>Модулей</t>
        </is>
      </c>
      <c r="C41" s="2" t="inlineStr">
        <is>
          <t>Размер, мм</t>
        </is>
      </c>
      <c r="D41" s="2" t="n"/>
      <c r="E41" s="2" t="n"/>
    </row>
    <row r="42">
      <c r="A42" s="2" t="inlineStr">
        <is>
          <t>База (аттическая)</t>
        </is>
      </c>
      <c r="B42" s="2" t="inlineStr">
        <is>
          <t>1,00</t>
        </is>
      </c>
      <c r="C42" s="2" t="inlineStr">
        <is>
          <t>389</t>
        </is>
      </c>
      <c r="D42" s="2" t="n"/>
      <c r="E42" s="2" t="n"/>
    </row>
    <row r="43">
      <c r="A43" s="2" t="inlineStr">
        <is>
          <t>Ствол</t>
        </is>
      </c>
      <c r="B43" s="2" t="inlineStr">
        <is>
          <t>16,33</t>
        </is>
      </c>
      <c r="C43" s="2" t="inlineStr">
        <is>
          <t>6 352</t>
        </is>
      </c>
      <c r="D43" s="2" t="n"/>
      <c r="E43" s="2" t="n"/>
    </row>
    <row r="44">
      <c r="A44" s="2" t="inlineStr">
        <is>
          <t>Капитель с волютами</t>
        </is>
      </c>
      <c r="B44" s="2" t="inlineStr">
        <is>
          <t>0,67</t>
        </is>
      </c>
      <c r="C44" s="2" t="inlineStr">
        <is>
          <t>259</t>
        </is>
      </c>
      <c r="D44" s="2" t="n"/>
      <c r="E44" s="2" t="n"/>
    </row>
    <row r="45">
      <c r="A45" s="2" t="inlineStr">
        <is>
          <t>Архитрав</t>
        </is>
      </c>
      <c r="B45" s="2" t="inlineStr">
        <is>
          <t>1,25</t>
        </is>
      </c>
      <c r="C45" s="2" t="inlineStr">
        <is>
          <t>486</t>
        </is>
      </c>
      <c r="D45" s="2" t="n"/>
      <c r="E45" s="2" t="n"/>
    </row>
    <row r="46">
      <c r="A46" s="2" t="inlineStr">
        <is>
          <t>Фриз</t>
        </is>
      </c>
      <c r="B46" s="2" t="inlineStr">
        <is>
          <t>1,50</t>
        </is>
      </c>
      <c r="C46" s="2" t="inlineStr">
        <is>
          <t>583</t>
        </is>
      </c>
      <c r="D46" s="2" t="n"/>
      <c r="E46" s="2" t="n"/>
    </row>
    <row r="47">
      <c r="A47" s="2" t="inlineStr">
        <is>
          <t>Карниз</t>
        </is>
      </c>
      <c r="B47" s="2" t="inlineStr">
        <is>
          <t>1,75</t>
        </is>
      </c>
      <c r="C47" s="2" t="inlineStr">
        <is>
          <t>681</t>
        </is>
      </c>
      <c r="D47" s="2" t="n"/>
      <c r="E47" s="2" t="n"/>
    </row>
    <row r="48">
      <c r="A48" s="2" t="inlineStr">
        <is>
          <t>Антаблемент целиком</t>
        </is>
      </c>
      <c r="B48" s="2" t="inlineStr">
        <is>
          <t>4,50</t>
        </is>
      </c>
      <c r="C48" s="2" t="inlineStr">
        <is>
          <t>1 750</t>
        </is>
      </c>
      <c r="D48" s="2" t="n"/>
      <c r="E48" s="2" t="n"/>
    </row>
    <row r="49">
      <c r="A49" s="2" t="inlineStr">
        <is>
          <t>Вывод: Межколонье 1,79 D — между пикностилем (1,5 D) и систилем (2 D): плотный ритм, который подчёркивает вход и держит фронтон. Центральный пролёт совпадает с дверью и с осью фонтана.</t>
        </is>
      </c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3" t="inlineStr">
        <is>
          <t>2. Архитектурная подсветка главного фасада (точечный метод)</t>
        </is>
      </c>
      <c r="B51" s="2" t="n"/>
      <c r="C51" s="2" t="n"/>
      <c r="D51" s="2" t="n"/>
      <c r="E51" s="2" t="n"/>
    </row>
    <row r="52">
      <c r="A52" s="2" t="inlineStr">
        <is>
          <t>E = I(θ)·cos α / d², коэффициент запаса 0,8. Ориентир для светлого фасада в загородной застройке — 20–30 лк средней освещённости, с выраженным ритмом по простенкам (CIE 094).</t>
        </is>
      </c>
      <c r="B52" s="2" t="n"/>
      <c r="C52" s="2" t="n"/>
      <c r="D52" s="2" t="n"/>
      <c r="E52" s="2" t="n"/>
    </row>
    <row r="53">
      <c r="A53" s="2" t="inlineStr">
        <is>
          <t>Средняя освещённость фасада</t>
        </is>
      </c>
      <c r="B53" s="2" t="inlineStr"/>
      <c r="C53" s="2" t="inlineStr">
        <is>
          <t>23</t>
        </is>
      </c>
      <c r="D53" s="2" t="inlineStr">
        <is>
          <t>лк</t>
        </is>
      </c>
      <c r="E53" s="2" t="n"/>
    </row>
    <row r="54">
      <c r="A54" s="2" t="inlineStr">
        <is>
          <t>Максимум у прожекторов</t>
        </is>
      </c>
      <c r="B54" s="2" t="inlineStr"/>
      <c r="C54" s="2" t="inlineStr">
        <is>
          <t>991</t>
        </is>
      </c>
      <c r="D54" s="2" t="inlineStr">
        <is>
          <t>лк</t>
        </is>
      </c>
      <c r="E54" s="2" t="n"/>
    </row>
    <row r="55">
      <c r="A55" s="2" t="inlineStr">
        <is>
          <t>Вывод: Средняя 23 лк: фасад читается ритмом светлых простенков, окна остаются тёмными. Яркие пятна только у цоколя, где их закроет рустованная кладка.</t>
        </is>
      </c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3" t="inlineStr">
        <is>
          <t>3. Парадная лестница и балюстрада</t>
        </is>
      </c>
      <c r="B57" s="2" t="n"/>
      <c r="C57" s="2" t="n"/>
      <c r="D57" s="2" t="n"/>
      <c r="E57" s="2" t="n"/>
    </row>
    <row r="58">
      <c r="A58" s="2" t="inlineStr">
        <is>
          <t>Формула шага 2h + b = 600…640 мм; высота ограждения ≥ 0,9 м; просвет между балясинами ≤ 110 мм.</t>
        </is>
      </c>
      <c r="B58" s="2" t="n"/>
      <c r="C58" s="2" t="n"/>
      <c r="D58" s="2" t="n"/>
      <c r="E58" s="2" t="n"/>
    </row>
    <row r="59">
      <c r="A59" s="2" t="inlineStr">
        <is>
          <t>Подступёнок h / проступь b</t>
        </is>
      </c>
      <c r="B59" s="2" t="inlineStr"/>
      <c r="C59" s="2" t="inlineStr">
        <is>
          <t>150 / 320</t>
        </is>
      </c>
      <c r="D59" s="2" t="inlineStr">
        <is>
          <t>мм</t>
        </is>
      </c>
      <c r="E59" s="2" t="n"/>
    </row>
    <row r="60">
      <c r="A60" s="2" t="inlineStr">
        <is>
          <t>Шаг лестницы</t>
        </is>
      </c>
      <c r="B60" s="2" t="inlineStr">
        <is>
          <t>2h + b</t>
        </is>
      </c>
      <c r="C60" s="2" t="inlineStr">
        <is>
          <t>620</t>
        </is>
      </c>
      <c r="D60" s="2" t="inlineStr">
        <is>
          <t>мм</t>
        </is>
      </c>
      <c r="E60" s="2" t="n"/>
    </row>
    <row r="61">
      <c r="A61" s="2" t="inlineStr">
        <is>
          <t>Высота балюстрады</t>
        </is>
      </c>
      <c r="B61" s="2" t="inlineStr"/>
      <c r="C61" s="2" t="inlineStr">
        <is>
          <t>900</t>
        </is>
      </c>
      <c r="D61" s="2" t="inlineStr">
        <is>
          <t>мм</t>
        </is>
      </c>
      <c r="E61" s="2" t="n"/>
    </row>
    <row r="62">
      <c r="A62" s="2" t="inlineStr">
        <is>
          <t>Шаг балясин</t>
        </is>
      </c>
      <c r="B62" s="2" t="inlineStr"/>
      <c r="C62" s="2" t="inlineStr">
        <is>
          <t>210</t>
        </is>
      </c>
      <c r="D62" s="2" t="inlineStr">
        <is>
          <t>мм</t>
        </is>
      </c>
      <c r="E62" s="2" t="n"/>
    </row>
    <row r="63">
      <c r="A63" s="2" t="inlineStr">
        <is>
          <t>Просвет у шейки / у «брюшка»</t>
        </is>
      </c>
      <c r="B63" s="2" t="inlineStr">
        <is>
          <t>шаг − Ø</t>
        </is>
      </c>
      <c r="C63" s="2" t="inlineStr">
        <is>
          <t>102 / 22</t>
        </is>
      </c>
      <c r="D63" s="2" t="inlineStr">
        <is>
          <t>мм</t>
        </is>
      </c>
      <c r="E63" s="2" t="n"/>
    </row>
    <row r="64">
      <c r="A64" s="2" t="inlineStr">
        <is>
          <t>Количество балясин</t>
        </is>
      </c>
      <c r="B64" s="2" t="inlineStr">
        <is>
          <t>по модели</t>
        </is>
      </c>
      <c r="C64" s="2" t="inlineStr">
        <is>
          <t>82</t>
        </is>
      </c>
      <c r="D64" s="2" t="inlineStr">
        <is>
          <t>шт</t>
        </is>
      </c>
      <c r="E64" s="2" t="n"/>
    </row>
    <row r="65">
      <c r="A65" s="2" t="inlineStr">
        <is>
          <t>Вывод: Шаг 620 мм удобен, просвет 102 мм проходит по требованию к ограждениям. Классический шаг 240 мм дал бы 157 мм у шейки, поэтому шаг уменьшен до 210 мм, а шейка балясины сделана полнее.</t>
        </is>
      </c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3" t="inlineStr">
        <is>
          <t>4. Ведомость архитектурного декора и отделки</t>
        </is>
      </c>
      <c r="B67" s="2" t="n"/>
      <c r="C67" s="2" t="n"/>
      <c r="D67" s="2" t="n"/>
      <c r="E67" s="2" t="n"/>
    </row>
    <row r="68">
      <c r="A68" s="2" t="inlineStr">
        <is>
          <t>Позиции</t>
        </is>
      </c>
      <c r="B68" s="2" t="n"/>
      <c r="C68" s="2" t="n"/>
      <c r="D68" s="2" t="n"/>
      <c r="E68" s="2" t="n"/>
    </row>
    <row r="69">
      <c r="A69" s="2" t="inlineStr">
        <is>
          <t>Элемент</t>
        </is>
      </c>
      <c r="B69" s="2" t="inlineStr">
        <is>
          <t>Ед.</t>
        </is>
      </c>
      <c r="C69" s="2" t="inlineStr">
        <is>
          <t>Кол-во</t>
        </is>
      </c>
      <c r="D69" s="2" t="n"/>
      <c r="E69" s="2" t="n"/>
    </row>
    <row r="70">
      <c r="A70" s="2" t="inlineStr">
        <is>
          <t>Карниз антаблемента (профиль 4 тяги)</t>
        </is>
      </c>
      <c r="B70" s="2" t="inlineStr">
        <is>
          <t>п. м</t>
        </is>
      </c>
      <c r="C70" s="2" t="inlineStr">
        <is>
          <t>99,9</t>
        </is>
      </c>
      <c r="D70" s="2" t="n"/>
      <c r="E70" s="2" t="n"/>
    </row>
    <row r="71">
      <c r="A71" s="2" t="inlineStr">
        <is>
          <t>Архитрав и фриз</t>
        </is>
      </c>
      <c r="B71" s="2" t="inlineStr">
        <is>
          <t>п. м</t>
        </is>
      </c>
      <c r="C71" s="2" t="inlineStr">
        <is>
          <t>99,9</t>
        </is>
      </c>
      <c r="D71" s="2" t="n"/>
      <c r="E71" s="2" t="n"/>
    </row>
    <row r="72">
      <c r="A72" s="2" t="inlineStr">
        <is>
          <t>Междуэтажный пояс</t>
        </is>
      </c>
      <c r="B72" s="2" t="inlineStr">
        <is>
          <t>п. м</t>
        </is>
      </c>
      <c r="C72" s="2" t="inlineStr">
        <is>
          <t>85,2</t>
        </is>
      </c>
      <c r="D72" s="2" t="n"/>
      <c r="E72" s="2" t="n"/>
    </row>
    <row r="73">
      <c r="A73" s="2" t="inlineStr">
        <is>
          <t>Наличники с сандриками</t>
        </is>
      </c>
      <c r="B73" s="2" t="inlineStr">
        <is>
          <t>компл.</t>
        </is>
      </c>
      <c r="C73" s="2" t="inlineStr">
        <is>
          <t>52</t>
        </is>
      </c>
      <c r="D73" s="2" t="n"/>
      <c r="E73" s="2" t="n"/>
    </row>
    <row r="74">
      <c r="A74" s="2" t="inlineStr">
        <is>
          <t>Замковые камни</t>
        </is>
      </c>
      <c r="B74" s="2" t="inlineStr">
        <is>
          <t>шт</t>
        </is>
      </c>
      <c r="C74" s="2" t="inlineStr">
        <is>
          <t>26</t>
        </is>
      </c>
      <c r="D74" s="2" t="n"/>
      <c r="E74" s="2" t="n"/>
    </row>
    <row r="75">
      <c r="A75" s="2" t="inlineStr">
        <is>
          <t>Рустовые камни углов</t>
        </is>
      </c>
      <c r="B75" s="2" t="inlineStr">
        <is>
          <t>шт</t>
        </is>
      </c>
      <c r="C75" s="2" t="inlineStr">
        <is>
          <t>264</t>
        </is>
      </c>
      <c r="D75" s="2" t="n"/>
      <c r="E75" s="2" t="n"/>
    </row>
    <row r="76">
      <c r="A76" s="2" t="inlineStr">
        <is>
          <t>Колонны ионические Ø 778, H 7,0 м</t>
        </is>
      </c>
      <c r="B76" s="2" t="inlineStr">
        <is>
          <t>шт</t>
        </is>
      </c>
      <c r="C76" s="2" t="inlineStr">
        <is>
          <t>4</t>
        </is>
      </c>
      <c r="D76" s="2" t="n"/>
      <c r="E76" s="2" t="n"/>
    </row>
    <row r="77">
      <c r="A77" s="2" t="inlineStr">
        <is>
          <t>Балясины h 660 мм</t>
        </is>
      </c>
      <c r="B77" s="2" t="inlineStr">
        <is>
          <t>шт</t>
        </is>
      </c>
      <c r="C77" s="2" t="inlineStr">
        <is>
          <t>82</t>
        </is>
      </c>
      <c r="D77" s="2" t="n"/>
      <c r="E77" s="2" t="n"/>
    </row>
    <row r="78">
      <c r="A78" s="2" t="inlineStr">
        <is>
          <t>Фасадная штукатурка + силикатная краска</t>
        </is>
      </c>
      <c r="B78" s="2" t="inlineStr">
        <is>
          <t>м²</t>
        </is>
      </c>
      <c r="C78" s="2" t="inlineStr">
        <is>
          <t>372,3</t>
        </is>
      </c>
      <c r="D78" s="2" t="n"/>
      <c r="E78" s="2" t="n"/>
    </row>
    <row r="79">
      <c r="A79" s="2" t="inlineStr">
        <is>
          <t>Рустованный цоколь, камень</t>
        </is>
      </c>
      <c r="B79" s="2" t="inlineStr">
        <is>
          <t>м²</t>
        </is>
      </c>
      <c r="C79" s="2" t="inlineStr">
        <is>
          <t>68,4</t>
        </is>
      </c>
      <c r="D79" s="2" t="n"/>
      <c r="E79" s="2" t="n"/>
    </row>
    <row r="80">
      <c r="A80" s="2" t="inlineStr">
        <is>
          <t>Кровля: натуральный сланец 400×250</t>
        </is>
      </c>
      <c r="B80" s="2" t="inlineStr">
        <is>
          <t>м²</t>
        </is>
      </c>
      <c r="C80" s="2" t="inlineStr">
        <is>
          <t>518,2</t>
        </is>
      </c>
      <c r="D80" s="2" t="n"/>
      <c r="E80" s="2" t="n"/>
    </row>
    <row r="81">
      <c r="A81" s="2" t="inlineStr">
        <is>
          <t>То же, плиток (≈ 21 шт/м² + 5 %)</t>
        </is>
      </c>
      <c r="B81" s="2" t="inlineStr">
        <is>
          <t>шт</t>
        </is>
      </c>
      <c r="C81" s="2" t="inlineStr">
        <is>
          <t>11 426</t>
        </is>
      </c>
      <c r="D81" s="2" t="n"/>
      <c r="E81" s="2" t="n"/>
    </row>
    <row r="82">
      <c r="A82" s="2" t="inlineStr">
        <is>
          <t>Вывод: Вальмовая кровля 30°: снеговой мешок не образуется, μ = 1 (СП 20.13330.2016, прил. Б).</t>
        </is>
      </c>
      <c r="B82" s="2" t="n"/>
      <c r="C82" s="2" t="n"/>
      <c r="D82" s="2" t="n"/>
      <c r="E8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58" customWidth="1" min="1" max="1"/>
    <col width="40" customWidth="1" min="2" max="2"/>
    <col width="30" customWidth="1" min="3" max="3"/>
    <col width="16" customWidth="1" min="4" max="4"/>
    <col width="16" customWidth="1" min="5" max="5"/>
  </cols>
  <sheetData>
    <row r="1">
      <c r="A1" s="1" t="inlineStr">
        <is>
          <t>Кафе KILN</t>
        </is>
      </c>
      <c r="B1" s="2" t="inlineStr">
        <is>
          <t>Индустриальный лофт</t>
        </is>
      </c>
      <c r="C1" s="2" t="inlineStr">
        <is>
          <t>Москва, центр, дом 1950-х годов</t>
        </is>
      </c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Ведомость отделки фасадов</t>
        </is>
      </c>
      <c r="B3" s="2" t="n"/>
      <c r="C3" s="2" t="n"/>
      <c r="D3" s="2" t="n"/>
      <c r="E3" s="2" t="n"/>
    </row>
    <row r="4">
      <c r="A4" s="4" t="inlineStr">
        <is>
          <t>Материал</t>
        </is>
      </c>
      <c r="B4" s="4" t="inlineStr">
        <is>
          <t>Система</t>
        </is>
      </c>
      <c r="C4" s="4" t="inlineStr">
        <is>
          <t>Цвет / отделка</t>
        </is>
      </c>
      <c r="D4" s="4" t="inlineStr">
        <is>
          <t>Объём</t>
        </is>
      </c>
      <c r="E4" s="2" t="n"/>
    </row>
    <row r="5">
      <c r="A5" s="2" t="inlineStr">
        <is>
          <t>Клинкерная плитка 240×71×14</t>
        </is>
      </c>
      <c r="B5" s="2" t="inlineStr">
        <is>
          <t>на клей, шов 10 мм</t>
        </is>
      </c>
      <c r="C5" s="2" t="inlineStr">
        <is>
          <t>красно-коричневая, «обожжённая»</t>
        </is>
      </c>
      <c r="D5" s="2" t="inlineStr">
        <is>
          <t>43 м²</t>
        </is>
      </c>
      <c r="E5" s="2" t="n"/>
    </row>
    <row r="6">
      <c r="A6" s="2" t="inlineStr">
        <is>
          <t>Витрины в стиле Crittall</t>
        </is>
      </c>
      <c r="B6" s="2" t="inlineStr">
        <is>
          <t>стальной профиль 60 мм, триплекс 6.6.2</t>
        </is>
      </c>
      <c r="C6" s="2" t="inlineStr">
        <is>
          <t>чёрный, RAL 9005</t>
        </is>
      </c>
      <c r="D6" s="2" t="inlineStr">
        <is>
          <t>48 м²</t>
        </is>
      </c>
      <c r="E6" s="2" t="n"/>
    </row>
    <row r="7">
      <c r="A7" s="2" t="inlineStr">
        <is>
          <t>Козырёк, консоли 120×120×5, тяги Ø 20</t>
        </is>
      </c>
      <c r="B7" s="2" t="inlineStr">
        <is>
          <t>сталь С255, порошковая окраска</t>
        </is>
      </c>
      <c r="C7" s="2" t="inlineStr">
        <is>
          <t>чёрный графит</t>
        </is>
      </c>
      <c r="D7" s="2" t="inlineStr">
        <is>
          <t>34 м²</t>
        </is>
      </c>
      <c r="E7" s="2" t="n"/>
    </row>
    <row r="8">
      <c r="A8" s="2" t="inlineStr">
        <is>
          <t>Буквы KILN, высота 500 мм</t>
        </is>
      </c>
      <c r="B8" s="2" t="inlineStr">
        <is>
          <t>латунь, подсветка LED 2700 K</t>
        </is>
      </c>
      <c r="C8" s="2" t="inlineStr">
        <is>
          <t>латунь матовая</t>
        </is>
      </c>
      <c r="D8" s="2" t="inlineStr">
        <is>
          <t>1 компл.</t>
        </is>
      </c>
      <c r="E8" s="2" t="n"/>
    </row>
    <row r="9">
      <c r="A9" s="2" t="inlineStr">
        <is>
          <t>Гранит Габбро-диабаз / серый</t>
        </is>
      </c>
      <c r="B9" s="2" t="inlineStr">
        <is>
          <t>термообработка, R11</t>
        </is>
      </c>
      <c r="C9" s="2" t="inlineStr">
        <is>
          <t>тёмно-серый</t>
        </is>
      </c>
      <c r="D9" s="2" t="inlineStr">
        <is>
          <t>цоколь, ступени, пандус</t>
        </is>
      </c>
      <c r="E9" s="2" t="n"/>
    </row>
    <row r="10">
      <c r="A10" s="2" t="inlineStr">
        <is>
          <t>Настил веранды — термоясень 20×140</t>
        </is>
      </c>
      <c r="B10" s="2" t="inlineStr">
        <is>
          <t>на регулируемых опорах</t>
        </is>
      </c>
      <c r="C10" s="2" t="inlineStr">
        <is>
          <t>тёплый коричневый</t>
        </is>
      </c>
      <c r="D10" s="2" t="inlineStr">
        <is>
          <t>32 м²</t>
        </is>
      </c>
      <c r="E10" s="2" t="n"/>
    </row>
    <row r="11">
      <c r="A11" s="2" t="n"/>
      <c r="B11" s="2" t="n"/>
      <c r="C11" s="2" t="n"/>
      <c r="D11" s="2" t="n"/>
      <c r="E11" s="2" t="n"/>
    </row>
    <row r="12">
      <c r="A12" s="3" t="inlineStr">
        <is>
          <t>Смета фасадов и благоустройства, ₽</t>
        </is>
      </c>
      <c r="B12" s="2" t="n"/>
      <c r="C12" s="2" t="n"/>
      <c r="D12" s="2" t="n"/>
      <c r="E12" s="2" t="n"/>
    </row>
    <row r="13">
      <c r="A13" s="4" t="inlineStr">
        <is>
          <t>Позиция</t>
        </is>
      </c>
      <c r="B13" s="4" t="inlineStr">
        <is>
          <t>Кол-во</t>
        </is>
      </c>
      <c r="C13" s="4" t="inlineStr">
        <is>
          <t>Ед.</t>
        </is>
      </c>
      <c r="D13" s="4" t="inlineStr">
        <is>
          <t>Ставка</t>
        </is>
      </c>
      <c r="E13" s="4" t="inlineStr">
        <is>
          <t>Сумма</t>
        </is>
      </c>
    </row>
    <row r="14">
      <c r="A14" s="2" t="inlineStr">
        <is>
          <t>Клинкерная облицовка пилонов и фриза</t>
        </is>
      </c>
      <c r="B14" s="2" t="n">
        <v>42.57</v>
      </c>
      <c r="C14" s="2" t="inlineStr">
        <is>
          <t>м²</t>
        </is>
      </c>
      <c r="D14" s="5" t="n">
        <v>6800</v>
      </c>
      <c r="E14" s="5">
        <f>B14*D14</f>
        <v/>
      </c>
    </row>
    <row r="15">
      <c r="A15" s="2" t="inlineStr">
        <is>
          <t>Витрины: стальной профиль, триплекс 6.6.2</t>
        </is>
      </c>
      <c r="B15" s="2" t="n">
        <v>48</v>
      </c>
      <c r="C15" s="2" t="inlineStr">
        <is>
          <t>м²</t>
        </is>
      </c>
      <c r="D15" s="5" t="n">
        <v>34000</v>
      </c>
      <c r="E15" s="5">
        <f>B15*D15</f>
        <v/>
      </c>
    </row>
    <row r="16">
      <c r="A16" s="2" t="inlineStr">
        <is>
          <t>Козырёк стальной с тягами, монтаж</t>
        </is>
      </c>
      <c r="B16" s="2" t="n">
        <v>34.02</v>
      </c>
      <c r="C16" s="2" t="inlineStr">
        <is>
          <t>м²</t>
        </is>
      </c>
      <c r="D16" s="5" t="n">
        <v>42000</v>
      </c>
      <c r="E16" s="5">
        <f>B16*D16</f>
        <v/>
      </c>
    </row>
    <row r="17">
      <c r="A17" s="2" t="inlineStr">
        <is>
          <t>Вывеска KILN, объёмные буквы с подсветкой</t>
        </is>
      </c>
      <c r="B17" s="2" t="n">
        <v>1</v>
      </c>
      <c r="C17" s="2" t="inlineStr">
        <is>
          <t>компл.</t>
        </is>
      </c>
      <c r="D17" s="5" t="n">
        <v>210000</v>
      </c>
      <c r="E17" s="5">
        <f>B17*D17</f>
        <v/>
      </c>
    </row>
    <row r="18">
      <c r="A18" s="2" t="inlineStr">
        <is>
          <t>Гранит: цоколь, площадка, ступени, пандус</t>
        </is>
      </c>
      <c r="B18" s="2" t="n">
        <v>1</v>
      </c>
      <c r="C18" s="2" t="inlineStr">
        <is>
          <t>компл.</t>
        </is>
      </c>
      <c r="D18" s="5" t="n">
        <v>640000</v>
      </c>
      <c r="E18" s="5">
        <f>B18*D18</f>
        <v/>
      </c>
    </row>
    <row r="19">
      <c r="A19" s="2" t="inlineStr">
        <is>
          <t>Поручни из нержавеющей стали (2 уровня)</t>
        </is>
      </c>
      <c r="B19" s="2" t="n">
        <v>38.4</v>
      </c>
      <c r="C19" s="2" t="inlineStr">
        <is>
          <t>п. м</t>
        </is>
      </c>
      <c r="D19" s="5" t="n">
        <v>5200</v>
      </c>
      <c r="E19" s="5">
        <f>B19*D19</f>
        <v/>
      </c>
    </row>
    <row r="20">
      <c r="A20" s="2" t="inlineStr">
        <is>
          <t>Летняя веранда: настил, кашпо с живой изгородью</t>
        </is>
      </c>
      <c r="B20" s="2" t="n">
        <v>32.12</v>
      </c>
      <c r="C20" s="2" t="inlineStr">
        <is>
          <t>м²</t>
        </is>
      </c>
      <c r="D20" s="5" t="n">
        <v>14500</v>
      </c>
      <c r="E20" s="5">
        <f>B20*D20</f>
        <v/>
      </c>
    </row>
    <row r="21">
      <c r="A21" s="2" t="inlineStr">
        <is>
          <t>Мебель веранды</t>
        </is>
      </c>
      <c r="B21" s="2" t="n">
        <v>20</v>
      </c>
      <c r="C21" s="2" t="inlineStr">
        <is>
          <t>мест</t>
        </is>
      </c>
      <c r="D21" s="5" t="n">
        <v>18000</v>
      </c>
      <c r="E21" s="5">
        <f>B21*D21</f>
        <v/>
      </c>
    </row>
    <row r="22">
      <c r="A22" s="2" t="inlineStr">
        <is>
          <t>Освещение: козырёк, гирлянды, фасад</t>
        </is>
      </c>
      <c r="B22" s="2" t="n">
        <v>1</v>
      </c>
      <c r="C22" s="2" t="inlineStr">
        <is>
          <t>компл.</t>
        </is>
      </c>
      <c r="D22" s="5" t="n">
        <v>260000</v>
      </c>
      <c r="E22" s="5">
        <f>B22*D22</f>
        <v/>
      </c>
    </row>
    <row r="23">
      <c r="A23" s="3" t="inlineStr">
        <is>
          <t>Итого</t>
        </is>
      </c>
      <c r="B23" s="2" t="n"/>
      <c r="C23" s="2" t="n"/>
      <c r="D23" s="2" t="n"/>
      <c r="E23" s="6">
        <f>SUM(E14:E22)</f>
        <v/>
      </c>
    </row>
    <row r="24">
      <c r="A24" s="2" t="inlineStr">
        <is>
          <t>Ориентировочно, Москва, 10.2026; без внутренней отделки зала и согласования вывески.</t>
        </is>
      </c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7" t="inlineStr">
        <is>
          <t>Расчёты</t>
        </is>
      </c>
      <c r="B26" s="2" t="n"/>
      <c r="C26" s="2" t="n"/>
      <c r="D26" s="2" t="n"/>
      <c r="E26" s="2" t="n"/>
    </row>
    <row r="27">
      <c r="A27" s="3" t="inlineStr">
        <is>
          <t>1. Летняя веранда: вместимость и проход для пешеходов</t>
        </is>
      </c>
      <c r="B27" s="2" t="n"/>
      <c r="C27" s="2" t="n"/>
      <c r="D27" s="2" t="n"/>
      <c r="E27" s="2" t="n"/>
    </row>
    <row r="28">
      <c r="A28" s="2" t="inlineStr">
        <is>
          <t>Норма площади на посадочное место 1,6–2,0 м²; свободный проход вдоль веранды не менее 2,0 м (правила размещения сезонных кафе в Москве — проверить по действующей редакции).</t>
        </is>
      </c>
      <c r="B28" s="2" t="n"/>
      <c r="C28" s="2" t="n"/>
      <c r="D28" s="2" t="n"/>
      <c r="E28" s="2" t="n"/>
    </row>
    <row r="29">
      <c r="A29" s="2" t="inlineStr">
        <is>
          <t>Размер веранды</t>
        </is>
      </c>
      <c r="B29" s="2" t="inlineStr"/>
      <c r="C29" s="2" t="inlineStr">
        <is>
          <t>7,3 × 4,4</t>
        </is>
      </c>
      <c r="D29" s="2" t="inlineStr">
        <is>
          <t>м</t>
        </is>
      </c>
      <c r="E29" s="2" t="n"/>
    </row>
    <row r="30">
      <c r="A30" s="2" t="inlineStr">
        <is>
          <t>Площадь</t>
        </is>
      </c>
      <c r="B30" s="2" t="inlineStr"/>
      <c r="C30" s="2" t="inlineStr">
        <is>
          <t>32,1</t>
        </is>
      </c>
      <c r="D30" s="2" t="inlineStr">
        <is>
          <t>м²</t>
        </is>
      </c>
      <c r="E30" s="2" t="n"/>
    </row>
    <row r="31">
      <c r="A31" s="2" t="inlineStr">
        <is>
          <t>Посадочных мест по расстановке</t>
        </is>
      </c>
      <c r="B31" s="2" t="inlineStr">
        <is>
          <t>5 столов × 4</t>
        </is>
      </c>
      <c r="C31" s="2" t="inlineStr">
        <is>
          <t>20</t>
        </is>
      </c>
      <c r="D31" s="2" t="inlineStr">
        <is>
          <t>мест</t>
        </is>
      </c>
      <c r="E31" s="2" t="n"/>
    </row>
    <row r="32">
      <c r="A32" s="2" t="inlineStr">
        <is>
          <t>Площадь на место</t>
        </is>
      </c>
      <c r="B32" s="2" t="inlineStr">
        <is>
          <t>S / n</t>
        </is>
      </c>
      <c r="C32" s="2" t="inlineStr">
        <is>
          <t>1,61</t>
        </is>
      </c>
      <c r="D32" s="2" t="inlineStr">
        <is>
          <t>м²</t>
        </is>
      </c>
      <c r="E32" s="2" t="n"/>
    </row>
    <row r="33">
      <c r="A33" s="2" t="inlineStr">
        <is>
          <t>Свободный проход по тротуару</t>
        </is>
      </c>
      <c r="B33" s="2" t="inlineStr">
        <is>
          <t>ширина тротуара 8,0 − выступ веранды</t>
        </is>
      </c>
      <c r="C33" s="2" t="inlineStr">
        <is>
          <t>3,4</t>
        </is>
      </c>
      <c r="D33" s="2" t="inlineStr">
        <is>
          <t>м</t>
        </is>
      </c>
      <c r="E33" s="2" t="n"/>
    </row>
    <row r="34">
      <c r="A34" s="2" t="inlineStr">
        <is>
          <t>Вывод: 20 посадочных мест при 1,61 м² на место; проход 3,4 м больше 2,0 м.</t>
        </is>
      </c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3" t="inlineStr">
        <is>
          <t>2. Доступность входа для маломобильных посетителей</t>
        </is>
      </c>
      <c r="B36" s="2" t="n"/>
      <c r="C36" s="2" t="n"/>
      <c r="D36" s="2" t="n"/>
      <c r="E36" s="2" t="n"/>
    </row>
    <row r="37">
      <c r="A37" s="2" t="inlineStr">
        <is>
          <t>СП 59.13330.2020 «Доступность зданий и сооружений для маломобильных групп населения».</t>
        </is>
      </c>
      <c r="B37" s="2" t="n"/>
      <c r="C37" s="2" t="n"/>
      <c r="D37" s="2" t="n"/>
      <c r="E37" s="2" t="n"/>
    </row>
    <row r="38">
      <c r="A38" s="2" t="inlineStr">
        <is>
          <t>Перепад высот</t>
        </is>
      </c>
      <c r="B38" s="2" t="inlineStr"/>
      <c r="C38" s="2" t="inlineStr">
        <is>
          <t>450</t>
        </is>
      </c>
      <c r="D38" s="2" t="inlineStr">
        <is>
          <t>мм</t>
        </is>
      </c>
      <c r="E38" s="2" t="n"/>
    </row>
    <row r="39">
      <c r="A39" s="2" t="inlineStr">
        <is>
          <t>Уклон пандуса</t>
        </is>
      </c>
      <c r="B39" s="2" t="inlineStr">
        <is>
          <t>h / L ≤ 1:20 (5 %)</t>
        </is>
      </c>
      <c r="C39" s="2" t="inlineStr">
        <is>
          <t>5,0</t>
        </is>
      </c>
      <c r="D39" s="2" t="inlineStr">
        <is>
          <t>%</t>
        </is>
      </c>
      <c r="E39" s="2" t="n"/>
    </row>
    <row r="40">
      <c r="A40" s="2" t="inlineStr">
        <is>
          <t>Длина марша пандуса</t>
        </is>
      </c>
      <c r="B40" s="2" t="inlineStr">
        <is>
          <t>h / 0,05</t>
        </is>
      </c>
      <c r="C40" s="2" t="inlineStr">
        <is>
          <t>9,00</t>
        </is>
      </c>
      <c r="D40" s="2" t="inlineStr">
        <is>
          <t>м</t>
        </is>
      </c>
      <c r="E40" s="2" t="n"/>
    </row>
    <row r="41">
      <c r="A41" s="2" t="inlineStr">
        <is>
          <t>Ширина между поручнями</t>
        </is>
      </c>
      <c r="B41" s="2" t="inlineStr">
        <is>
          <t>≥ 1,0 м</t>
        </is>
      </c>
      <c r="C41" s="2" t="inlineStr">
        <is>
          <t>1,20</t>
        </is>
      </c>
      <c r="D41" s="2" t="inlineStr">
        <is>
          <t>м</t>
        </is>
      </c>
      <c r="E41" s="2" t="n"/>
    </row>
    <row r="42">
      <c r="A42" s="2" t="inlineStr">
        <is>
          <t>Поручни</t>
        </is>
      </c>
      <c r="B42" s="2" t="inlineStr">
        <is>
          <t>двойные, на высоте 0,9 и 0,7 м</t>
        </is>
      </c>
      <c r="C42" s="2" t="inlineStr">
        <is>
          <t>с обеих сторон</t>
        </is>
      </c>
      <c r="D42" s="2" t="inlineStr"/>
      <c r="E42" s="2" t="n"/>
    </row>
    <row r="43">
      <c r="A43" s="2" t="inlineStr">
        <is>
          <t>Площадки внизу и вверху</t>
        </is>
      </c>
      <c r="B43" s="2" t="inlineStr">
        <is>
          <t>≥ 1,5 × 1,5 м</t>
        </is>
      </c>
      <c r="C43" s="2" t="inlineStr">
        <is>
          <t>1,5 × 1,5</t>
        </is>
      </c>
      <c r="D43" s="2" t="inlineStr">
        <is>
          <t>м</t>
        </is>
      </c>
      <c r="E43" s="2" t="n"/>
    </row>
    <row r="44">
      <c r="A44" s="2" t="inlineStr">
        <is>
          <t>Ступени: подступёнок / проступь</t>
        </is>
      </c>
      <c r="B44" s="2" t="inlineStr">
        <is>
          <t>0,12–0,15 / 0,35–0,40 м</t>
        </is>
      </c>
      <c r="C44" s="2" t="inlineStr">
        <is>
          <t>150 / 350</t>
        </is>
      </c>
      <c r="D44" s="2" t="inlineStr">
        <is>
          <t>мм</t>
        </is>
      </c>
      <c r="E44" s="2" t="n"/>
    </row>
    <row r="45">
      <c r="A45" s="2" t="inlineStr">
        <is>
          <t>Вывод: Пандус, площадки и ступени укладываются в требования СП 59. Перед лестницей нужна тактильная полоса шириной 0,5–0,6 м, а крайние ступени выделяются контрастной полосой.</t>
        </is>
      </c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3" t="inlineStr">
        <is>
          <t>3. Козырёк: консоли на тягах</t>
        </is>
      </c>
      <c r="B47" s="2" t="n"/>
      <c r="C47" s="2" t="n"/>
      <c r="D47" s="2" t="n"/>
      <c r="E47" s="2" t="n"/>
    </row>
    <row r="48">
      <c r="A48" s="2" t="inlineStr">
        <is>
          <t>СП 20.13330.2016: у стены высокого здания возможен снеговой мешок — принято μ = 2,0 (в запас). СП 16.13330.2017, сталь С255.</t>
        </is>
      </c>
      <c r="B48" s="2" t="n"/>
      <c r="C48" s="2" t="n"/>
      <c r="D48" s="2" t="n"/>
      <c r="E48" s="2" t="n"/>
    </row>
    <row r="49">
      <c r="A49" s="2" t="inlineStr">
        <is>
          <t>Снеговая нагрузка расчётная</t>
        </is>
      </c>
      <c r="B49" s="2" t="inlineStr">
        <is>
          <t>μ·Sg·γf = 2,0·1,5·1,4</t>
        </is>
      </c>
      <c r="C49" s="2" t="inlineStr">
        <is>
          <t>4,20</t>
        </is>
      </c>
      <c r="D49" s="2" t="inlineStr">
        <is>
          <t>кПа</t>
        </is>
      </c>
      <c r="E49" s="2" t="n"/>
    </row>
    <row r="50">
      <c r="A50" s="2" t="inlineStr">
        <is>
          <t>Собственный вес (сталь, стекло, светильники)</t>
        </is>
      </c>
      <c r="B50" s="2" t="inlineStr">
        <is>
          <t>0,6 кПа × 1,05</t>
        </is>
      </c>
      <c r="C50" s="2" t="inlineStr">
        <is>
          <t>0,63</t>
        </is>
      </c>
      <c r="D50" s="2" t="inlineStr">
        <is>
          <t>кПа</t>
        </is>
      </c>
      <c r="E50" s="2" t="n"/>
    </row>
    <row r="51">
      <c r="A51" s="2" t="inlineStr">
        <is>
          <t>Нагрузка на консоль</t>
        </is>
      </c>
      <c r="B51" s="2" t="inlineStr">
        <is>
          <t>q = (S + g) × 3,6 м</t>
        </is>
      </c>
      <c r="C51" s="2" t="inlineStr">
        <is>
          <t>17,4</t>
        </is>
      </c>
      <c r="D51" s="2" t="inlineStr">
        <is>
          <t>кН/м</t>
        </is>
      </c>
      <c r="E51" s="2" t="n"/>
    </row>
    <row r="52">
      <c r="A52" s="2" t="inlineStr">
        <is>
          <t>Момент (балка на тяге)</t>
        </is>
      </c>
      <c r="B52" s="2" t="inlineStr">
        <is>
          <t>q·L²/8</t>
        </is>
      </c>
      <c r="C52" s="2" t="inlineStr">
        <is>
          <t>7,04</t>
        </is>
      </c>
      <c r="D52" s="2" t="inlineStr">
        <is>
          <t>кН·м</t>
        </is>
      </c>
      <c r="E52" s="2" t="n"/>
    </row>
    <row r="53">
      <c r="A53" s="2" t="inlineStr">
        <is>
          <t>Напряжение в трубе 120×120×5</t>
        </is>
      </c>
      <c r="B53" s="2" t="inlineStr">
        <is>
          <t>M / W, W = 84,7 см³</t>
        </is>
      </c>
      <c r="C53" s="2" t="inlineStr">
        <is>
          <t>83</t>
        </is>
      </c>
      <c r="D53" s="2" t="inlineStr">
        <is>
          <t>МПа</t>
        </is>
      </c>
      <c r="E53" s="2" t="n"/>
    </row>
    <row r="54">
      <c r="A54" s="2" t="inlineStr">
        <is>
          <t>Усилие в тяге</t>
        </is>
      </c>
      <c r="B54" s="2" t="inlineStr">
        <is>
          <t>q·L / 2 / sin α</t>
        </is>
      </c>
      <c r="C54" s="2" t="inlineStr">
        <is>
          <t>22,4</t>
        </is>
      </c>
      <c r="D54" s="2" t="inlineStr">
        <is>
          <t>кН</t>
        </is>
      </c>
      <c r="E54" s="2" t="n"/>
    </row>
    <row r="55">
      <c r="A55" s="2" t="inlineStr">
        <is>
          <t>Несущая способность тяги Ø 20 (S235)</t>
        </is>
      </c>
      <c r="B55" s="2" t="inlineStr">
        <is>
          <t>A·Ry / γ</t>
        </is>
      </c>
      <c r="C55" s="2" t="inlineStr">
        <is>
          <t>70,3</t>
        </is>
      </c>
      <c r="D55" s="2" t="inlineStr">
        <is>
          <t>кН</t>
        </is>
      </c>
      <c r="E55" s="2" t="n"/>
    </row>
    <row r="56">
      <c r="A56" s="2" t="inlineStr">
        <is>
          <t>Вывод: Консоль загружена на 35 %, тяга на 32 %. Анкеры в кладке подбирают после испытания на вырыв: стена — кирпич 1950-х годов.</t>
        </is>
      </c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3" t="inlineStr">
        <is>
          <t>4. Вывеска: высота букв и читаемость</t>
        </is>
      </c>
      <c r="B58" s="2" t="n"/>
      <c r="C58" s="2" t="n"/>
      <c r="D58" s="2" t="n"/>
      <c r="E58" s="2" t="n"/>
    </row>
    <row r="59">
      <c r="A59" s="2" t="inlineStr">
        <is>
          <t>Правила размещения вывесок в Москве (ПП № 902-ПП): буквы на козырьке — не выше 0,5 м (проверить по действующей редакции). Читаемость — правило «1 дюйм высоты на 10 футов расстояния».</t>
        </is>
      </c>
      <c r="B59" s="2" t="n"/>
      <c r="C59" s="2" t="n"/>
      <c r="D59" s="2" t="n"/>
      <c r="E59" s="2" t="n"/>
    </row>
    <row r="60">
      <c r="A60" s="2" t="inlineStr">
        <is>
          <t>Высота букв</t>
        </is>
      </c>
      <c r="B60" s="2" t="inlineStr"/>
      <c r="C60" s="2" t="inlineStr">
        <is>
          <t>500</t>
        </is>
      </c>
      <c r="D60" s="2" t="inlineStr">
        <is>
          <t>мм</t>
        </is>
      </c>
      <c r="E60" s="2" t="n"/>
    </row>
    <row r="61">
      <c r="A61" s="2" t="inlineStr">
        <is>
          <t>Максимальная дистанция читаемости</t>
        </is>
      </c>
      <c r="B61" s="2" t="inlineStr">
        <is>
          <t>≈ 120·h</t>
        </is>
      </c>
      <c r="C61" s="2" t="inlineStr">
        <is>
          <t>60</t>
        </is>
      </c>
      <c r="D61" s="2" t="inlineStr">
        <is>
          <t>м</t>
        </is>
      </c>
      <c r="E61" s="2" t="n"/>
    </row>
    <row r="62">
      <c r="A62" s="2" t="inlineStr">
        <is>
          <t>Ширина улицы с тротуарами</t>
        </is>
      </c>
      <c r="B62" s="2" t="inlineStr">
        <is>
          <t>по генплану</t>
        </is>
      </c>
      <c r="C62" s="2" t="inlineStr">
        <is>
          <t>22</t>
        </is>
      </c>
      <c r="D62" s="2" t="inlineStr">
        <is>
          <t>м</t>
        </is>
      </c>
      <c r="E62" s="2" t="n"/>
    </row>
    <row r="63">
      <c r="A63" s="2" t="inlineStr">
        <is>
          <t>Вывод: Название читается с противоположного тротуара и от пешеходного перехода. Подсветка тёплая, 2700–3000 K, яркость вечером снижается по таймеру.</t>
        </is>
      </c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3" t="inlineStr">
        <is>
          <t>5. Освещённость под козырьком</t>
        </is>
      </c>
      <c r="B65" s="2" t="n"/>
      <c r="C65" s="2" t="n"/>
      <c r="D65" s="2" t="n"/>
      <c r="E65" s="2" t="n"/>
    </row>
    <row r="66">
      <c r="A66" s="2" t="inlineStr">
        <is>
          <t>E = I(θ)·cos α / d², коэффициент запаса 0,8; ориентир у входа 50–100 лк.</t>
        </is>
      </c>
      <c r="B66" s="2" t="n"/>
      <c r="C66" s="2" t="n"/>
      <c r="D66" s="2" t="n"/>
      <c r="E66" s="2" t="n"/>
    </row>
    <row r="67">
      <c r="A67" s="2" t="inlineStr">
        <is>
          <t>Средняя освещённость</t>
        </is>
      </c>
      <c r="B67" s="2" t="inlineStr"/>
      <c r="C67" s="2" t="inlineStr">
        <is>
          <t>110</t>
        </is>
      </c>
      <c r="D67" s="2" t="inlineStr">
        <is>
          <t>лк</t>
        </is>
      </c>
      <c r="E67" s="2" t="n"/>
    </row>
    <row r="68">
      <c r="A68" s="2" t="inlineStr">
        <is>
          <t>Минимальная / максимальная</t>
        </is>
      </c>
      <c r="B68" s="2" t="inlineStr"/>
      <c r="C68" s="2" t="inlineStr">
        <is>
          <t>55 / 128</t>
        </is>
      </c>
      <c r="D68" s="2" t="inlineStr">
        <is>
          <t>лк</t>
        </is>
      </c>
      <c r="E68" s="2" t="n"/>
    </row>
    <row r="69">
      <c r="A69" s="2" t="inlineStr">
        <is>
          <t>Равномерность U0</t>
        </is>
      </c>
      <c r="B69" s="2" t="inlineStr">
        <is>
          <t>Emin / Eср</t>
        </is>
      </c>
      <c r="C69" s="2" t="inlineStr">
        <is>
          <t>0,50</t>
        </is>
      </c>
      <c r="D69" s="2" t="inlineStr"/>
      <c r="E69" s="2" t="n"/>
    </row>
    <row r="70">
      <c r="A70" s="2" t="inlineStr">
        <is>
          <t>Вывод: Eср = 110 лк: вход заметно светлее улицы и приглашает зайти.</t>
        </is>
      </c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3" t="inlineStr">
        <is>
          <t>6. Ведомость отделки входной группы</t>
        </is>
      </c>
      <c r="B72" s="2" t="n"/>
      <c r="C72" s="2" t="n"/>
      <c r="D72" s="2" t="n"/>
      <c r="E72" s="2" t="n"/>
    </row>
    <row r="73">
      <c r="A73" s="2" t="inlineStr">
        <is>
          <t>Облицовка клинкером</t>
        </is>
      </c>
      <c r="B73" s="2" t="inlineStr">
        <is>
          <t>по модели</t>
        </is>
      </c>
      <c r="C73" s="2" t="inlineStr">
        <is>
          <t>42,6</t>
        </is>
      </c>
      <c r="D73" s="2" t="inlineStr">
        <is>
          <t>м²</t>
        </is>
      </c>
      <c r="E73" s="2" t="n"/>
    </row>
    <row r="74">
      <c r="A74" s="2" t="inlineStr">
        <is>
          <t>Клинкерная плитка 240×71 (шов 10 мм)</t>
        </is>
      </c>
      <c r="B74" s="2" t="inlineStr">
        <is>
          <t>≈ 48 шт/м² × 1,07</t>
        </is>
      </c>
      <c r="C74" s="2" t="inlineStr">
        <is>
          <t>2 186</t>
        </is>
      </c>
      <c r="D74" s="2" t="inlineStr">
        <is>
          <t>шт</t>
        </is>
      </c>
      <c r="E74" s="2" t="n"/>
    </row>
    <row r="75">
      <c r="A75" s="2" t="inlineStr">
        <is>
          <t>Витрины в стиле Crittall</t>
        </is>
      </c>
      <c r="B75" s="2" t="inlineStr"/>
      <c r="C75" s="2" t="inlineStr">
        <is>
          <t>48,0</t>
        </is>
      </c>
      <c r="D75" s="2" t="inlineStr">
        <is>
          <t>м²</t>
        </is>
      </c>
      <c r="E75" s="2" t="n"/>
    </row>
    <row r="76">
      <c r="A76" s="2" t="inlineStr">
        <is>
          <t>Козырёк</t>
        </is>
      </c>
      <c r="B76" s="2" t="inlineStr"/>
      <c r="C76" s="2" t="inlineStr">
        <is>
          <t>34,0</t>
        </is>
      </c>
      <c r="D76" s="2" t="inlineStr">
        <is>
          <t>м²</t>
        </is>
      </c>
      <c r="E76" s="2" t="n"/>
    </row>
    <row r="77">
      <c r="A77" s="2" t="inlineStr">
        <is>
          <t>Настил веранды</t>
        </is>
      </c>
      <c r="B77" s="2" t="inlineStr"/>
      <c r="C77" s="2" t="inlineStr">
        <is>
          <t>32,1</t>
        </is>
      </c>
      <c r="D77" s="2" t="inlineStr">
        <is>
          <t>м²</t>
        </is>
      </c>
      <c r="E77" s="2" t="n"/>
    </row>
    <row r="78">
      <c r="A78" s="2" t="inlineStr">
        <is>
          <t>Вывод: Существующий фасад выше первого этажа не меняется: проект согласуют как входную группу и вывеску.</t>
        </is>
      </c>
      <c r="B78" s="2" t="n"/>
      <c r="C78" s="2" t="n"/>
      <c r="D78" s="2" t="n"/>
      <c r="E7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58" customWidth="1" min="1" max="1"/>
    <col width="40" customWidth="1" min="2" max="2"/>
    <col width="30" customWidth="1" min="3" max="3"/>
    <col width="16" customWidth="1" min="4" max="4"/>
    <col width="16" customWidth="1" min="5" max="5"/>
  </cols>
  <sheetData>
    <row r="1">
      <c r="A1" s="1" t="inlineStr">
        <is>
          <t>Павильон «Цуки»</t>
        </is>
      </c>
      <c r="B1" s="2" t="inlineStr">
        <is>
          <t>Японди</t>
        </is>
      </c>
      <c r="C1" s="2" t="inlineStr">
        <is>
          <t>Пирогово, Московская обл.</t>
        </is>
      </c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Ведомость отделки фасадов</t>
        </is>
      </c>
      <c r="B3" s="2" t="n"/>
      <c r="C3" s="2" t="n"/>
      <c r="D3" s="2" t="n"/>
      <c r="E3" s="2" t="n"/>
    </row>
    <row r="4">
      <c r="A4" s="4" t="inlineStr">
        <is>
          <t>Материал</t>
        </is>
      </c>
      <c r="B4" s="4" t="inlineStr">
        <is>
          <t>Система</t>
        </is>
      </c>
      <c r="C4" s="4" t="inlineStr">
        <is>
          <t>Цвет / отделка</t>
        </is>
      </c>
      <c r="D4" s="4" t="inlineStr">
        <is>
          <t>Объём</t>
        </is>
      </c>
      <c r="E4" s="2" t="n"/>
    </row>
    <row r="5">
      <c r="A5" s="2" t="inlineStr">
        <is>
          <t>Шу-суги-бан — лиственница, обжиг + масло</t>
        </is>
      </c>
      <c r="B5" s="2" t="inlineStr">
        <is>
          <t>доска 20×145, вертикально</t>
        </is>
      </c>
      <c r="C5" s="2" t="inlineStr">
        <is>
          <t>чёрный, текстура «крокодил»</t>
        </is>
      </c>
      <c r="D5" s="2" t="inlineStr">
        <is>
          <t>15 м²</t>
        </is>
      </c>
      <c r="E5" s="2" t="n"/>
    </row>
    <row r="6">
      <c r="A6" s="2" t="inlineStr">
        <is>
          <t>Хиноки / кипарис — рейка 40×40</t>
        </is>
      </c>
      <c r="B6" s="2" t="inlineStr">
        <is>
          <t>решётка коси, шаг 80 мм</t>
        </is>
      </c>
      <c r="C6" s="2" t="inlineStr">
        <is>
          <t>натуральный, без покрытия</t>
        </is>
      </c>
      <c r="D6" s="2" t="inlineStr">
        <is>
          <t>53 шт</t>
        </is>
      </c>
      <c r="E6" s="2" t="n"/>
    </row>
    <row r="7">
      <c r="A7" s="2" t="inlineStr">
        <is>
          <t>Клеёный брус GL24h 140×140 / 140×300</t>
        </is>
      </c>
      <c r="B7" s="2" t="inlineStr">
        <is>
          <t>скрытые стальные узлы</t>
        </is>
      </c>
      <c r="C7" s="2" t="inlineStr">
        <is>
          <t>масло, «светлый дуб»</t>
        </is>
      </c>
      <c r="D7" s="2" t="inlineStr">
        <is>
          <t>10 стоек</t>
        </is>
      </c>
      <c r="E7" s="2" t="n"/>
    </row>
    <row r="8">
      <c r="A8" s="2" t="inlineStr">
        <is>
          <t>Кровельный кант — сталь 2 мм</t>
        </is>
      </c>
      <c r="B8" s="2" t="inlineStr">
        <is>
          <t>тонкий профиль 220 мм</t>
        </is>
      </c>
      <c r="C8" s="2" t="inlineStr">
        <is>
          <t>графит, порошковая</t>
        </is>
      </c>
      <c r="D8" s="2" t="inlineStr">
        <is>
          <t>по периметру</t>
        </is>
      </c>
      <c r="E8" s="2" t="n"/>
    </row>
    <row r="9">
      <c r="A9" s="2" t="inlineStr">
        <is>
          <t>Энгава — бетон с отпечатком доски</t>
        </is>
      </c>
      <c r="B9" s="2" t="inlineStr">
        <is>
          <t>основание + настил хиноки</t>
        </is>
      </c>
      <c r="C9" s="2" t="inlineStr">
        <is>
          <t>серый тёплый</t>
        </is>
      </c>
      <c r="D9" s="2" t="inlineStr">
        <is>
          <t>по проекту</t>
        </is>
      </c>
      <c r="E9" s="2" t="n"/>
    </row>
    <row r="10">
      <c r="A10" s="2" t="inlineStr">
        <is>
          <t>Гравий 5–10 мм</t>
        </is>
      </c>
      <c r="B10" s="2" t="inlineStr">
        <is>
          <t>по геотекстилю, слой 60 мм</t>
        </is>
      </c>
      <c r="C10" s="2" t="inlineStr">
        <is>
          <t>светло-серый</t>
        </is>
      </c>
      <c r="D10" s="2" t="inlineStr">
        <is>
          <t>336 м²</t>
        </is>
      </c>
      <c r="E10" s="2" t="n"/>
    </row>
    <row r="11">
      <c r="A11" s="2" t="n"/>
      <c r="B11" s="2" t="n"/>
      <c r="C11" s="2" t="n"/>
      <c r="D11" s="2" t="n"/>
      <c r="E11" s="2" t="n"/>
    </row>
    <row r="12">
      <c r="A12" s="3" t="inlineStr">
        <is>
          <t>Смета фасадов и благоустройства, ₽</t>
        </is>
      </c>
      <c r="B12" s="2" t="n"/>
      <c r="C12" s="2" t="n"/>
      <c r="D12" s="2" t="n"/>
      <c r="E12" s="2" t="n"/>
    </row>
    <row r="13">
      <c r="A13" s="4" t="inlineStr">
        <is>
          <t>Позиция</t>
        </is>
      </c>
      <c r="B13" s="4" t="inlineStr">
        <is>
          <t>Кол-во</t>
        </is>
      </c>
      <c r="C13" s="4" t="inlineStr">
        <is>
          <t>Ед.</t>
        </is>
      </c>
      <c r="D13" s="4" t="inlineStr">
        <is>
          <t>Ставка</t>
        </is>
      </c>
      <c r="E13" s="4" t="inlineStr">
        <is>
          <t>Сумма</t>
        </is>
      </c>
    </row>
    <row r="14">
      <c r="A14" s="2" t="inlineStr">
        <is>
          <t>Клеёные стойки и балки, монтаж</t>
        </is>
      </c>
      <c r="B14" s="2" t="n">
        <v>1</v>
      </c>
      <c r="C14" s="2" t="inlineStr">
        <is>
          <t>компл.</t>
        </is>
      </c>
      <c r="D14" s="5" t="n">
        <v>680000</v>
      </c>
      <c r="E14" s="5">
        <f>B14*D14</f>
        <v/>
      </c>
    </row>
    <row r="15">
      <c r="A15" s="2" t="inlineStr">
        <is>
          <t>Кровля: лаги, фанера, ЭПДМ, стальной кант</t>
        </is>
      </c>
      <c r="B15" s="2" t="n">
        <v>47.76</v>
      </c>
      <c r="C15" s="2" t="inlineStr">
        <is>
          <t>м²</t>
        </is>
      </c>
      <c r="D15" s="5" t="n">
        <v>9800</v>
      </c>
      <c r="E15" s="5">
        <f>B15*D15</f>
        <v/>
      </c>
    </row>
    <row r="16">
      <c r="A16" s="2" t="inlineStr">
        <is>
          <t>Стена шу-суги-бан (обожжённая лиственница)</t>
        </is>
      </c>
      <c r="B16" s="2" t="n">
        <v>14.76</v>
      </c>
      <c r="C16" s="2" t="inlineStr">
        <is>
          <t>м²</t>
        </is>
      </c>
      <c r="D16" s="5" t="n">
        <v>7400</v>
      </c>
      <c r="E16" s="5">
        <f>B16*D16</f>
        <v/>
      </c>
    </row>
    <row r="17">
      <c r="A17" s="2" t="inlineStr">
        <is>
          <t>Решётка коси из хиноки</t>
        </is>
      </c>
      <c r="B17" s="2" t="n">
        <v>53</v>
      </c>
      <c r="C17" s="2" t="inlineStr">
        <is>
          <t>шт</t>
        </is>
      </c>
      <c r="D17" s="5" t="n">
        <v>1900</v>
      </c>
      <c r="E17" s="5">
        <f>B17*D17</f>
        <v/>
      </c>
    </row>
    <row r="18">
      <c r="A18" s="2" t="inlineStr">
        <is>
          <t>Раздвижное остекление</t>
        </is>
      </c>
      <c r="B18" s="2" t="n">
        <v>16.56</v>
      </c>
      <c r="C18" s="2" t="inlineStr">
        <is>
          <t>м²</t>
        </is>
      </c>
      <c r="D18" s="5" t="n">
        <v>29000</v>
      </c>
      <c r="E18" s="5">
        <f>B18*D18</f>
        <v/>
      </c>
    </row>
    <row r="19">
      <c r="A19" s="2" t="inlineStr">
        <is>
          <t>Энгава: бетонное основание + настил</t>
        </is>
      </c>
      <c r="B19" s="2" t="n">
        <v>60.3</v>
      </c>
      <c r="C19" s="2" t="inlineStr">
        <is>
          <t>м²</t>
        </is>
      </c>
      <c r="D19" s="5" t="n">
        <v>16500</v>
      </c>
      <c r="E19" s="5">
        <f>B19*D19</f>
        <v/>
      </c>
    </row>
    <row r="20">
      <c r="A20" s="2" t="inlineStr">
        <is>
          <t>Пергола из хиноки + летняя кухня</t>
        </is>
      </c>
      <c r="B20" s="2" t="n">
        <v>1</v>
      </c>
      <c r="C20" s="2" t="inlineStr">
        <is>
          <t>компл.</t>
        </is>
      </c>
      <c r="D20" s="5" t="n">
        <v>920000</v>
      </c>
      <c r="E20" s="5">
        <f>B20*D20</f>
        <v/>
      </c>
    </row>
    <row r="21">
      <c r="A21" s="2" t="inlineStr">
        <is>
          <t>Зеркальный водоём с насосом</t>
        </is>
      </c>
      <c r="B21" s="2" t="n">
        <v>1</v>
      </c>
      <c r="C21" s="2" t="inlineStr">
        <is>
          <t>компл.</t>
        </is>
      </c>
      <c r="D21" s="5" t="n">
        <v>340000</v>
      </c>
      <c r="E21" s="5">
        <f>B21*D21</f>
        <v/>
      </c>
    </row>
    <row r="22">
      <c r="A22" s="2" t="inlineStr">
        <is>
          <t>Гравийный сад, валуны, мох, растения</t>
        </is>
      </c>
      <c r="B22" s="2" t="n">
        <v>1</v>
      </c>
      <c r="C22" s="2" t="inlineStr">
        <is>
          <t>компл.</t>
        </is>
      </c>
      <c r="D22" s="5" t="n">
        <v>560000</v>
      </c>
      <c r="E22" s="5">
        <f>B22*D22</f>
        <v/>
      </c>
    </row>
    <row r="23">
      <c r="A23" s="2" t="inlineStr">
        <is>
          <t>Освещение: фонари, подсветка деревьев, LED</t>
        </is>
      </c>
      <c r="B23" s="2" t="n">
        <v>1</v>
      </c>
      <c r="C23" s="2" t="inlineStr">
        <is>
          <t>компл.</t>
        </is>
      </c>
      <c r="D23" s="5" t="n">
        <v>190000</v>
      </c>
      <c r="E23" s="5">
        <f>B23*D23</f>
        <v/>
      </c>
    </row>
    <row r="24">
      <c r="A24" s="3" t="inlineStr">
        <is>
          <t>Итого</t>
        </is>
      </c>
      <c r="B24" s="2" t="n"/>
      <c r="C24" s="2" t="n"/>
      <c r="D24" s="2" t="n"/>
      <c r="E24" s="6">
        <f>SUM(E14:E23)</f>
        <v/>
      </c>
    </row>
    <row r="25">
      <c r="A25" s="2" t="inlineStr">
        <is>
          <t>Ориентировочно, Московская обл., 10.2026; с учётом доставки крупных валунов.</t>
        </is>
      </c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7" t="inlineStr">
        <is>
          <t>Расчёты</t>
        </is>
      </c>
      <c r="B27" s="2" t="n"/>
      <c r="C27" s="2" t="n"/>
      <c r="D27" s="2" t="n"/>
      <c r="E27" s="2" t="n"/>
    </row>
    <row r="28">
      <c r="A28" s="3" t="inlineStr">
        <is>
          <t>1. Конструкция тонкой кровли павильона</t>
        </is>
      </c>
      <c r="B28" s="2" t="n"/>
      <c r="C28" s="2" t="n"/>
      <c r="D28" s="2" t="n"/>
      <c r="E28" s="2" t="n"/>
    </row>
    <row r="29">
      <c r="A29" s="2" t="inlineStr">
        <is>
          <t>СП 20.13330.2016 (плоская кровля, μ = 1, Sg = 1,5 кПа); СП 64.13330.2017. Клеёная древесина в запас проверена по сопротивлению цельной К24: R = 19,5 МПа × mдл 0,66.</t>
        </is>
      </c>
      <c r="B29" s="2" t="n"/>
      <c r="C29" s="2" t="n"/>
      <c r="D29" s="2" t="n"/>
      <c r="E29" s="2" t="n"/>
    </row>
    <row r="30">
      <c r="A30" s="2" t="inlineStr">
        <is>
          <t>Снег: нормативный / расчётный</t>
        </is>
      </c>
      <c r="B30" s="2" t="inlineStr">
        <is>
          <t>μ = 1</t>
        </is>
      </c>
      <c r="C30" s="2" t="inlineStr">
        <is>
          <t>1,50 / 2,10</t>
        </is>
      </c>
      <c r="D30" s="2" t="inlineStr">
        <is>
          <t>кПа</t>
        </is>
      </c>
      <c r="E30" s="2" t="n"/>
    </row>
    <row r="31">
      <c r="A31" s="2" t="inlineStr">
        <is>
          <t>Постоянная нагрузка</t>
        </is>
      </c>
      <c r="B31" s="2" t="inlineStr">
        <is>
          <t>мембрана, фанера 21, лаги, рейка</t>
        </is>
      </c>
      <c r="C31" s="2" t="inlineStr">
        <is>
          <t>0,60 / 0,66</t>
        </is>
      </c>
      <c r="D31" s="2" t="inlineStr">
        <is>
          <t>кПа</t>
        </is>
      </c>
      <c r="E31" s="2" t="n"/>
    </row>
    <row r="32">
      <c r="A32" s="2" t="inlineStr">
        <is>
          <t>Балка 140×300, пролёт</t>
        </is>
      </c>
      <c r="B32" s="2" t="inlineStr">
        <is>
          <t>между стойками</t>
        </is>
      </c>
      <c r="C32" s="2" t="inlineStr">
        <is>
          <t>3,00</t>
        </is>
      </c>
      <c r="D32" s="2" t="inlineStr">
        <is>
          <t>м</t>
        </is>
      </c>
      <c r="E32" s="2" t="n"/>
    </row>
    <row r="33">
      <c r="A33" s="2" t="inlineStr">
        <is>
          <t>Нагрузка на балку</t>
        </is>
      </c>
      <c r="B33" s="2" t="inlineStr">
        <is>
          <t>(S + g) × 3,45 м</t>
        </is>
      </c>
      <c r="C33" s="2" t="inlineStr">
        <is>
          <t>9,52</t>
        </is>
      </c>
      <c r="D33" s="2" t="inlineStr">
        <is>
          <t>кН/м</t>
        </is>
      </c>
      <c r="E33" s="2" t="n"/>
    </row>
    <row r="34">
      <c r="A34" s="2" t="inlineStr">
        <is>
          <t>Напряжение в балке / R</t>
        </is>
      </c>
      <c r="B34" s="2" t="inlineStr"/>
      <c r="C34" s="2" t="inlineStr">
        <is>
          <t>5,1 / 12,9</t>
        </is>
      </c>
      <c r="D34" s="2" t="inlineStr">
        <is>
          <t>МПа</t>
        </is>
      </c>
      <c r="E34" s="2" t="n"/>
    </row>
    <row r="35">
      <c r="A35" s="2" t="inlineStr">
        <is>
          <t>Прогиб балки / L/250</t>
        </is>
      </c>
      <c r="B35" s="2" t="inlineStr"/>
      <c r="C35" s="2" t="inlineStr">
        <is>
          <t>2,4 / 12,0</t>
        </is>
      </c>
      <c r="D35" s="2" t="inlineStr">
        <is>
          <t>мм</t>
        </is>
      </c>
      <c r="E35" s="2" t="n"/>
    </row>
    <row r="36">
      <c r="A36" s="2" t="inlineStr">
        <is>
          <t>Лага 45×195, пролёт</t>
        </is>
      </c>
      <c r="B36" s="2" t="inlineStr"/>
      <c r="C36" s="2" t="inlineStr">
        <is>
          <t>4,50</t>
        </is>
      </c>
      <c r="D36" s="2" t="inlineStr">
        <is>
          <t>м</t>
        </is>
      </c>
      <c r="E36" s="2" t="n"/>
    </row>
    <row r="37">
      <c r="A37" s="2" t="inlineStr">
        <is>
          <t>Напряжение в лаге / R</t>
        </is>
      </c>
      <c r="B37" s="2" t="inlineStr"/>
      <c r="C37" s="2" t="inlineStr">
        <is>
          <t>9,8 / 12,9</t>
        </is>
      </c>
      <c r="D37" s="2" t="inlineStr">
        <is>
          <t>МПа</t>
        </is>
      </c>
      <c r="E37" s="2" t="n"/>
    </row>
    <row r="38">
      <c r="A38" s="2" t="inlineStr">
        <is>
          <t>Прогиб лаги / L/200</t>
        </is>
      </c>
      <c r="B38" s="2" t="inlineStr"/>
      <c r="C38" s="2" t="inlineStr">
        <is>
          <t>16,1 / 22,5</t>
        </is>
      </c>
      <c r="D38" s="2" t="inlineStr">
        <is>
          <t>мм</t>
        </is>
      </c>
      <c r="E38" s="2" t="n"/>
    </row>
    <row r="39">
      <c r="A39" s="2" t="inlineStr">
        <is>
          <t>Вывод: Балки загружены на 40 %, лаги на 76 %. Сечение лаги задаёт толщину кровли: тоньше не сделать без стальных элементов.</t>
        </is>
      </c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3" t="inlineStr">
        <is>
          <t>2. Затенение перголы над летней кухней</t>
        </is>
      </c>
      <c r="B41" s="2" t="n"/>
      <c r="C41" s="2" t="n"/>
      <c r="D41" s="2" t="n"/>
      <c r="E41" s="2" t="n"/>
    </row>
    <row r="42">
      <c r="A42" s="2" t="inlineStr">
        <is>
          <t>Широта 55,75° с. ш.; профильный угол в плоскости восток–запад: tg φ = tg h / |sin γ|; доля тени = min(1, (w + d / tg φ) / s).</t>
        </is>
      </c>
      <c r="B42" s="2" t="n"/>
      <c r="C42" s="2" t="n"/>
      <c r="D42" s="2" t="n"/>
      <c r="E42" s="2" t="n"/>
    </row>
    <row r="43">
      <c r="A43" s="2" t="inlineStr">
        <is>
          <t>Рейка w × d / шаг s</t>
        </is>
      </c>
      <c r="B43" s="2" t="inlineStr"/>
      <c r="C43" s="2" t="inlineStr">
        <is>
          <t>45 × 95 / 150</t>
        </is>
      </c>
      <c r="D43" s="2" t="inlineStr">
        <is>
          <t>мм</t>
        </is>
      </c>
      <c r="E43" s="2" t="n"/>
    </row>
    <row r="44">
      <c r="A44" s="2" t="inlineStr">
        <is>
          <t>Количество реек</t>
        </is>
      </c>
      <c r="B44" s="2" t="inlineStr">
        <is>
          <t>по модели</t>
        </is>
      </c>
      <c r="C44" s="2" t="inlineStr">
        <is>
          <t>41</t>
        </is>
      </c>
      <c r="D44" s="2" t="inlineStr">
        <is>
          <t>шт</t>
        </is>
      </c>
      <c r="E44" s="2" t="n"/>
    </row>
    <row r="45">
      <c r="A45" s="2" t="inlineStr">
        <is>
          <t>Погонаж рейки</t>
        </is>
      </c>
      <c r="B45" s="2" t="inlineStr">
        <is>
          <t>n × L</t>
        </is>
      </c>
      <c r="C45" s="2" t="inlineStr">
        <is>
          <t>233,7</t>
        </is>
      </c>
      <c r="D45" s="2" t="inlineStr">
        <is>
          <t>п. м</t>
        </is>
      </c>
      <c r="E45" s="2" t="n"/>
    </row>
    <row r="46">
      <c r="A46" s="2" t="inlineStr">
        <is>
          <t>Вывод: После 17:00 в июне тень 100 %: ужинать можно без маркиз, а в полдень пергола не закрывает свет кухне.</t>
        </is>
      </c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3" t="inlineStr">
        <is>
          <t>3. Решётка «коси» западной стены</t>
        </is>
      </c>
      <c r="B48" s="2" t="n"/>
      <c r="C48" s="2" t="n"/>
      <c r="D48" s="2" t="n"/>
      <c r="E48" s="2" t="n"/>
    </row>
    <row r="49">
      <c r="A49" s="2" t="inlineStr">
        <is>
          <t>Прозрачность по нормали</t>
        </is>
      </c>
      <c r="B49" s="2" t="inlineStr">
        <is>
          <t>(s − w) / s</t>
        </is>
      </c>
      <c r="C49" s="2" t="inlineStr">
        <is>
          <t>50</t>
        </is>
      </c>
      <c r="D49" s="2" t="inlineStr">
        <is>
          <t>%</t>
        </is>
      </c>
      <c r="E49" s="2" t="n"/>
    </row>
    <row r="50">
      <c r="A50" s="2" t="inlineStr">
        <is>
          <t>Угол, после которого решётка непрозрачна</t>
        </is>
      </c>
      <c r="B50" s="2" t="inlineStr">
        <is>
          <t>arctg(зазор / глубина)</t>
        </is>
      </c>
      <c r="C50" s="2" t="inlineStr">
        <is>
          <t>45</t>
        </is>
      </c>
      <c r="D50" s="2" t="inlineStr">
        <is>
          <t>°</t>
        </is>
      </c>
      <c r="E50" s="2" t="n"/>
    </row>
    <row r="51">
      <c r="A51" s="2" t="inlineStr">
        <is>
          <t>Количество реек</t>
        </is>
      </c>
      <c r="B51" s="2" t="inlineStr">
        <is>
          <t>по модели</t>
        </is>
      </c>
      <c r="C51" s="2" t="inlineStr">
        <is>
          <t>53</t>
        </is>
      </c>
      <c r="D51" s="2" t="inlineStr">
        <is>
          <t>шт</t>
        </is>
      </c>
      <c r="E51" s="2" t="n"/>
    </row>
    <row r="52">
      <c r="A52" s="2" t="inlineStr">
        <is>
          <t>Погонаж</t>
        </is>
      </c>
      <c r="B52" s="2" t="inlineStr">
        <is>
          <t>n × h</t>
        </is>
      </c>
      <c r="C52" s="2" t="inlineStr">
        <is>
          <t>143,1</t>
        </is>
      </c>
      <c r="D52" s="2" t="inlineStr">
        <is>
          <t>п. м</t>
        </is>
      </c>
      <c r="E52" s="2" t="n"/>
    </row>
    <row r="53">
      <c r="A53" s="2" t="inlineStr">
        <is>
          <t>Вывод: Сосед видит решётку под углом больше 45°, то есть всегда глухой; изнутри сад читается полосами света.</t>
        </is>
      </c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3" t="inlineStr">
        <is>
          <t>4. Фундаменты, гравийный сад, водоём</t>
        </is>
      </c>
      <c r="B55" s="2" t="n"/>
      <c r="C55" s="2" t="n"/>
      <c r="D55" s="2" t="n"/>
      <c r="E55" s="2" t="n"/>
    </row>
    <row r="56">
      <c r="A56" s="2" t="inlineStr">
        <is>
          <t>Свай Ø 300 × 1,5 м</t>
        </is>
      </c>
      <c r="B56" s="2" t="inlineStr">
        <is>
          <t>павильон + пергола</t>
        </is>
      </c>
      <c r="C56" s="2" t="inlineStr">
        <is>
          <t>10</t>
        </is>
      </c>
      <c r="D56" s="2" t="inlineStr">
        <is>
          <t>шт</t>
        </is>
      </c>
      <c r="E56" s="2" t="n"/>
    </row>
    <row r="57">
      <c r="A57" s="2" t="inlineStr">
        <is>
          <t>Бетон В25 на сваи</t>
        </is>
      </c>
      <c r="B57" s="2" t="inlineStr">
        <is>
          <t>π·r²·h·n</t>
        </is>
      </c>
      <c r="C57" s="2" t="inlineStr">
        <is>
          <t>1,06</t>
        </is>
      </c>
      <c r="D57" s="2" t="inlineStr">
        <is>
          <t>м³</t>
        </is>
      </c>
      <c r="E57" s="2" t="n"/>
    </row>
    <row r="58">
      <c r="A58" s="2" t="inlineStr">
        <is>
          <t>Площадь гравийного сада</t>
        </is>
      </c>
      <c r="B58" s="2" t="inlineStr">
        <is>
          <t>по модели</t>
        </is>
      </c>
      <c r="C58" s="2" t="inlineStr">
        <is>
          <t>336,2</t>
        </is>
      </c>
      <c r="D58" s="2" t="inlineStr">
        <is>
          <t>м²</t>
        </is>
      </c>
      <c r="E58" s="2" t="n"/>
    </row>
    <row r="59">
      <c r="A59" s="2" t="inlineStr">
        <is>
          <t>Гравий 5–10 мм, слой 60 мм</t>
        </is>
      </c>
      <c r="B59" s="2" t="inlineStr">
        <is>
          <t>S × 0,06 × 1,6 т/м³</t>
        </is>
      </c>
      <c r="C59" s="2" t="inlineStr">
        <is>
          <t>32,3</t>
        </is>
      </c>
      <c r="D59" s="2" t="inlineStr">
        <is>
          <t>т</t>
        </is>
      </c>
      <c r="E59" s="2" t="n"/>
    </row>
    <row r="60">
      <c r="A60" s="2" t="inlineStr">
        <is>
          <t>Объём зеркального водоёма</t>
        </is>
      </c>
      <c r="B60" s="2" t="inlineStr">
        <is>
          <t>L × B × h</t>
        </is>
      </c>
      <c r="C60" s="2" t="inlineStr">
        <is>
          <t>8,82</t>
        </is>
      </c>
      <c r="D60" s="2" t="inlineStr">
        <is>
          <t>м³</t>
        </is>
      </c>
      <c r="E60" s="2" t="n"/>
    </row>
    <row r="61">
      <c r="A61" s="2" t="inlineStr">
        <is>
          <t>Насос рециркуляции</t>
        </is>
      </c>
      <c r="B61" s="2" t="inlineStr">
        <is>
          <t>оборот за 2 ч</t>
        </is>
      </c>
      <c r="C61" s="2" t="inlineStr">
        <is>
          <t>4,41</t>
        </is>
      </c>
      <c r="D61" s="2" t="inlineStr">
        <is>
          <t>м³/ч</t>
        </is>
      </c>
      <c r="E61" s="2" t="n"/>
    </row>
    <row r="62">
      <c r="A62" s="2" t="inlineStr">
        <is>
          <t>Вывод: Водоём неглубокий (0,38 м) и на зиму сливается. Тёмное дно даёт зеркальное отражение павильона.</t>
        </is>
      </c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3" t="inlineStr">
        <is>
          <t>5. Освещение дорожки фонарями</t>
        </is>
      </c>
      <c r="B64" s="2" t="n"/>
      <c r="C64" s="2" t="n"/>
      <c r="D64" s="2" t="n"/>
      <c r="E64" s="2" t="n"/>
    </row>
    <row r="65">
      <c r="A65" s="2" t="inlineStr">
        <is>
          <t>Точечный метод, рассеивающий источник (угол 170°), коэффициент запаса 0,8; ориентир для садовых дорожек 1–5 лк.</t>
        </is>
      </c>
      <c r="B65" s="2" t="n"/>
      <c r="C65" s="2" t="n"/>
      <c r="D65" s="2" t="n"/>
      <c r="E65" s="2" t="n"/>
    </row>
    <row r="66">
      <c r="A66" s="2" t="inlineStr">
        <is>
          <t>Средняя освещённость дорожки</t>
        </is>
      </c>
      <c r="B66" s="2" t="inlineStr"/>
      <c r="C66" s="2" t="inlineStr">
        <is>
          <t>4,9</t>
        </is>
      </c>
      <c r="D66" s="2" t="inlineStr">
        <is>
          <t>лк</t>
        </is>
      </c>
      <c r="E66" s="2" t="n"/>
    </row>
    <row r="67">
      <c r="A67" s="2" t="inlineStr">
        <is>
          <t>Максимум у фонарей</t>
        </is>
      </c>
      <c r="B67" s="2" t="inlineStr"/>
      <c r="C67" s="2" t="inlineStr">
        <is>
          <t>114,0</t>
        </is>
      </c>
      <c r="D67" s="2" t="inlineStr">
        <is>
          <t>лк</t>
        </is>
      </c>
      <c r="E67" s="2" t="n"/>
    </row>
    <row r="68">
      <c r="A68" s="2" t="inlineStr">
        <is>
          <t>Вывод: Средняя 4,9 лк: камни читаются островками света, небо над садом остаётся тёмным.</t>
        </is>
      </c>
      <c r="B68" s="2" t="n"/>
      <c r="C68" s="2" t="n"/>
      <c r="D68" s="2" t="n"/>
      <c r="E6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2026-10-25T16:19:10Z</dcterms:created>
  <dcterms:modified xmlns:dcterms="http://purl.org/dc/terms/" xmlns:xsi="http://www.w3.org/2001/XMLSchema-instance" xsi:type="dcterms:W3CDTF">2026-10-25T16:19:10Z</dcterms:modified>
</cp:coreProperties>
</file>